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e37ad6c92d151ec/Desktop/"/>
    </mc:Choice>
  </mc:AlternateContent>
  <xr:revisionPtr revIDLastSave="0" documentId="8_{8C317AEE-B8FA-4B83-8ED3-9AB5DEEB1901}" xr6:coauthVersionLast="47" xr6:coauthVersionMax="47" xr10:uidLastSave="{00000000-0000-0000-0000-000000000000}"/>
  <bookViews>
    <workbookView xWindow="-110" yWindow="-110" windowWidth="19420" windowHeight="11500" xr2:uid="{73A71F80-20E9-41B0-B45B-CB48B0680786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S10" i="1"/>
  <c r="U10" i="1"/>
  <c r="S13" i="1"/>
  <c r="S18" i="1"/>
  <c r="T18" i="1"/>
  <c r="U18" i="1"/>
  <c r="V18" i="1"/>
  <c r="W18" i="1"/>
  <c r="X18" i="1"/>
  <c r="Y18" i="1"/>
  <c r="Z18" i="1"/>
  <c r="AA18" i="1"/>
  <c r="AB18" i="1"/>
  <c r="AC18" i="1"/>
</calcChain>
</file>

<file path=xl/sharedStrings.xml><?xml version="1.0" encoding="utf-8"?>
<sst xmlns="http://schemas.openxmlformats.org/spreadsheetml/2006/main" count="18" uniqueCount="17">
  <si>
    <t>Income Level</t>
  </si>
  <si>
    <t>Feedback</t>
  </si>
  <si>
    <t>Total Purchases</t>
  </si>
  <si>
    <t>Customer Segment</t>
  </si>
  <si>
    <t>Order Month</t>
  </si>
  <si>
    <t>OrderAmount</t>
  </si>
  <si>
    <t>Order Status</t>
  </si>
  <si>
    <t>Product Brand</t>
  </si>
  <si>
    <t>Product Category</t>
  </si>
  <si>
    <t>Customer Name</t>
  </si>
  <si>
    <t>TransactionID</t>
  </si>
  <si>
    <t>ORDER HISTORY</t>
  </si>
  <si>
    <t>ADDRESS</t>
  </si>
  <si>
    <t>CUSTOMER ID</t>
  </si>
  <si>
    <t>PHONE</t>
  </si>
  <si>
    <t>EMAIL</t>
  </si>
  <si>
    <t>this will be operational when both files are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</si>
</sst>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$-1009]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057D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0" borderId="0" xfId="0" applyFont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5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4" fillId="2" borderId="2" xfId="0" applyFont="1" applyFill="1" applyBorder="1"/>
    <xf numFmtId="44" fontId="1" fillId="0" borderId="0" xfId="1" applyFont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4146423186463387"/>
          <c:y val="0.196906992771155"/>
          <c:w val="0.48451276037303848"/>
          <c:h val="0.70209387234416931"/>
        </c:manualLayout>
      </c:layout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OTHERS</c:v>
              </c:pt>
              <c:pt idx="1">
                <c:v>Home Decor</c:v>
              </c:pt>
              <c:pt idx="2">
                <c:v>Books</c:v>
              </c:pt>
              <c:pt idx="3">
                <c:v>Clothing</c:v>
              </c:pt>
              <c:pt idx="4">
                <c:v>Grocery</c:v>
              </c:pt>
              <c:pt idx="5">
                <c:v>Electronics</c:v>
              </c:pt>
            </c:strLit>
          </c:cat>
          <c:val>
            <c:numLit>
              <c:formatCode>General</c:formatCode>
              <c:ptCount val="6"/>
              <c:pt idx="0">
                <c:v>371665.16078692989</c:v>
              </c:pt>
              <c:pt idx="1">
                <c:v>72425396.683677688</c:v>
              </c:pt>
              <c:pt idx="2">
                <c:v>72659609.955440149</c:v>
              </c:pt>
              <c:pt idx="3">
                <c:v>73033870.258563057</c:v>
              </c:pt>
              <c:pt idx="4">
                <c:v>88965083.961132541</c:v>
              </c:pt>
              <c:pt idx="5">
                <c:v>95011823.71914582</c:v>
              </c:pt>
            </c:numLit>
          </c:val>
          <c:extLst>
            <c:ext xmlns:c16="http://schemas.microsoft.com/office/drawing/2014/chart" uri="{C3380CC4-5D6E-409C-BE32-E72D297353CC}">
              <c16:uniqueId val="{00000000-8577-40B1-89D7-C416BFF17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4887839"/>
        <c:axId val="274887359"/>
        <c:axId val="0"/>
      </c:bar3DChart>
      <c:catAx>
        <c:axId val="27488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887359"/>
        <c:crosses val="autoZero"/>
        <c:auto val="1"/>
        <c:lblAlgn val="ctr"/>
        <c:lblOffset val="100"/>
        <c:noMultiLvlLbl val="0"/>
      </c:catAx>
      <c:valAx>
        <c:axId val="27488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8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 BASED TRENDZ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36501</c:v>
              </c:pt>
              <c:pt idx="1">
                <c:v>17740</c:v>
              </c:pt>
              <c:pt idx="2">
                <c:v>18684</c:v>
              </c:pt>
              <c:pt idx="3">
                <c:v>40175</c:v>
              </c:pt>
              <c:pt idx="4">
                <c:v>27557</c:v>
              </c:pt>
              <c:pt idx="5">
                <c:v>17940</c:v>
              </c:pt>
              <c:pt idx="6">
                <c:v>30179</c:v>
              </c:pt>
              <c:pt idx="7">
                <c:v>32190</c:v>
              </c:pt>
              <c:pt idx="8">
                <c:v>18200</c:v>
              </c:pt>
              <c:pt idx="9">
                <c:v>18654</c:v>
              </c:pt>
              <c:pt idx="10">
                <c:v>17916</c:v>
              </c:pt>
              <c:pt idx="11">
                <c:v>18460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5EF-40F3-87DB-6314A19E5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536751"/>
        <c:axId val="1698533391"/>
      </c:lineChart>
      <c:catAx>
        <c:axId val="16985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33391"/>
        <c:crosses val="autoZero"/>
        <c:auto val="1"/>
        <c:lblAlgn val="ctr"/>
        <c:lblOffset val="100"/>
        <c:noMultiLvlLbl val="0"/>
      </c:catAx>
      <c:valAx>
        <c:axId val="169853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3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Feedback &amp; Ratings</a:t>
            </a:r>
          </a:p>
          <a:p>
            <a:pPr>
              <a:defRPr/>
            </a:pPr>
            <a:r>
              <a:rPr lang="en-IN"/>
              <a:t>(Sentiment and Performance)</a:t>
            </a:r>
          </a:p>
        </c:rich>
      </c:tx>
      <c:layout>
        <c:manualLayout>
          <c:xMode val="edge"/>
          <c:yMode val="edge"/>
          <c:x val="0.37896161863908923"/>
          <c:y val="4.39943813165599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356441458803664"/>
          <c:y val="0.22747811023622047"/>
          <c:w val="0.67379751482113692"/>
          <c:h val="0.6800488188976378"/>
        </c:manualLayout>
      </c:layout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strLit>
          </c:cat>
          <c:val>
            <c:numLit>
              <c:formatCode>General</c:formatCode>
              <c:ptCount val="5"/>
              <c:pt idx="0">
                <c:v>42084</c:v>
              </c:pt>
              <c:pt idx="1">
                <c:v>61021</c:v>
              </c:pt>
              <c:pt idx="2">
                <c:v>46530</c:v>
              </c:pt>
              <c:pt idx="3">
                <c:v>95724</c:v>
              </c:pt>
              <c:pt idx="4">
                <c:v>48922</c:v>
              </c:pt>
            </c:numLit>
          </c:val>
          <c:extLst>
            <c:ext xmlns:c16="http://schemas.microsoft.com/office/drawing/2014/chart" uri="{C3380CC4-5D6E-409C-BE32-E72D297353CC}">
              <c16:uniqueId val="{00000000-B1EA-4964-8330-40D45DC96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8596271"/>
        <c:axId val="1698588591"/>
        <c:axId val="0"/>
      </c:bar3DChart>
      <c:catAx>
        <c:axId val="169859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88591"/>
        <c:crosses val="autoZero"/>
        <c:auto val="1"/>
        <c:lblAlgn val="ctr"/>
        <c:lblOffset val="100"/>
        <c:noMultiLvlLbl val="0"/>
      </c:catAx>
      <c:valAx>
        <c:axId val="169858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9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Segmentation</a:t>
            </a:r>
          </a:p>
          <a:p>
            <a:pPr>
              <a:defRPr/>
            </a:pPr>
            <a:r>
              <a:rPr lang="en-IN"/>
              <a:t>(TOTAL AMT SPENT PER SEGMENT)</a:t>
            </a:r>
          </a:p>
        </c:rich>
      </c:tx>
      <c:layout>
        <c:manualLayout>
          <c:xMode val="edge"/>
          <c:yMode val="edge"/>
          <c:x val="0.42114169085616771"/>
          <c:y val="6.666155251452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AE-4058-8A7C-09573C0F4B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AE-4058-8A7C-09573C0F4B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AE-4058-8A7C-09573C0F4B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AE-4058-8A7C-09573C0F4B90}"/>
              </c:ext>
            </c:extLst>
          </c:dPt>
          <c:cat>
            <c:strLit>
              <c:ptCount val="4"/>
              <c:pt idx="0">
                <c:v>Others</c:v>
              </c:pt>
              <c:pt idx="1">
                <c:v>New</c:v>
              </c:pt>
              <c:pt idx="2">
                <c:v>Premium</c:v>
              </c:pt>
              <c:pt idx="3">
                <c:v>Regular</c:v>
              </c:pt>
            </c:strLit>
          </c:cat>
          <c:val>
            <c:numLit>
              <c:formatCode>General</c:formatCode>
              <c:ptCount val="4"/>
              <c:pt idx="0">
                <c:v>7.9126847653480687E-4</c:v>
              </c:pt>
              <c:pt idx="1">
                <c:v>0.3017311742894338</c:v>
              </c:pt>
              <c:pt idx="2">
                <c:v>0.21061737650394302</c:v>
              </c:pt>
              <c:pt idx="3">
                <c:v>0.48686018073008847</c:v>
              </c:pt>
            </c:numLit>
          </c:val>
          <c:extLst>
            <c:ext xmlns:c16="http://schemas.microsoft.com/office/drawing/2014/chart" uri="{C3380CC4-5D6E-409C-BE32-E72D297353CC}">
              <c16:uniqueId val="{00000008-27AE-4058-8A7C-09573C0F4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&amp; Brand Performance</a:t>
            </a:r>
          </a:p>
        </c:rich>
      </c:tx>
      <c:layout>
        <c:manualLayout>
          <c:xMode val="edge"/>
          <c:yMode val="edge"/>
          <c:x val="0.40855506647670253"/>
          <c:y val="4.4950477854227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9237896741760727"/>
          <c:y val="0.20886824207787624"/>
          <c:w val="0.59289471508259073"/>
          <c:h val="0.65813235729138941"/>
        </c:manualLayout>
      </c:layout>
      <c:bar3D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9"/>
              <c:pt idx="0">
                <c:v>Others</c:v>
              </c:pt>
              <c:pt idx="1">
                <c:v>BlueStar</c:v>
              </c:pt>
              <c:pt idx="2">
                <c:v>Mitsubhisi</c:v>
              </c:pt>
              <c:pt idx="3">
                <c:v>Whirepool</c:v>
              </c:pt>
              <c:pt idx="4">
                <c:v>IKEA</c:v>
              </c:pt>
              <c:pt idx="5">
                <c:v>Apple</c:v>
              </c:pt>
              <c:pt idx="6">
                <c:v>Random House</c:v>
              </c:pt>
              <c:pt idx="7">
                <c:v>Nestle</c:v>
              </c:pt>
              <c:pt idx="8">
                <c:v>Penguin Books</c:v>
              </c:pt>
              <c:pt idx="9">
                <c:v>Home Depot</c:v>
              </c:pt>
              <c:pt idx="10">
                <c:v>Nike</c:v>
              </c:pt>
              <c:pt idx="11">
                <c:v>Bed Bath &amp; Beyond</c:v>
              </c:pt>
              <c:pt idx="12">
                <c:v>Adidas</c:v>
              </c:pt>
              <c:pt idx="13">
                <c:v>Sony</c:v>
              </c:pt>
              <c:pt idx="14">
                <c:v>HarperCollins</c:v>
              </c:pt>
              <c:pt idx="15">
                <c:v>Samsung</c:v>
              </c:pt>
              <c:pt idx="16">
                <c:v>Zara</c:v>
              </c:pt>
              <c:pt idx="17">
                <c:v>Coca-Cola</c:v>
              </c:pt>
              <c:pt idx="18">
                <c:v>Pepsi</c:v>
              </c:pt>
            </c:strLit>
          </c:cat>
          <c:val>
            <c:numLit>
              <c:formatCode>General</c:formatCode>
              <c:ptCount val="19"/>
              <c:pt idx="0">
                <c:v>270</c:v>
              </c:pt>
              <c:pt idx="1">
                <c:v>2179</c:v>
              </c:pt>
              <c:pt idx="2">
                <c:v>6525</c:v>
              </c:pt>
              <c:pt idx="3">
                <c:v>7331</c:v>
              </c:pt>
              <c:pt idx="4">
                <c:v>17550</c:v>
              </c:pt>
              <c:pt idx="5">
                <c:v>17600</c:v>
              </c:pt>
              <c:pt idx="6">
                <c:v>17630</c:v>
              </c:pt>
              <c:pt idx="7">
                <c:v>17642</c:v>
              </c:pt>
              <c:pt idx="8">
                <c:v>17657</c:v>
              </c:pt>
              <c:pt idx="9">
                <c:v>17682</c:v>
              </c:pt>
              <c:pt idx="10">
                <c:v>17698</c:v>
              </c:pt>
              <c:pt idx="11">
                <c:v>17744</c:v>
              </c:pt>
              <c:pt idx="12">
                <c:v>17778</c:v>
              </c:pt>
              <c:pt idx="13">
                <c:v>17859</c:v>
              </c:pt>
              <c:pt idx="14">
                <c:v>17905</c:v>
              </c:pt>
              <c:pt idx="15">
                <c:v>17925</c:v>
              </c:pt>
              <c:pt idx="16">
                <c:v>17928</c:v>
              </c:pt>
              <c:pt idx="17">
                <c:v>17932</c:v>
              </c:pt>
              <c:pt idx="18">
                <c:v>29626</c:v>
              </c:pt>
            </c:numLit>
          </c:val>
          <c:extLst>
            <c:ext xmlns:c16="http://schemas.microsoft.com/office/drawing/2014/chart" uri="{C3380CC4-5D6E-409C-BE32-E72D297353CC}">
              <c16:uniqueId val="{00000000-1137-456C-9665-32EBA6C37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2193183"/>
        <c:axId val="1952189823"/>
        <c:axId val="0"/>
      </c:bar3DChart>
      <c:catAx>
        <c:axId val="195219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89823"/>
        <c:crosses val="autoZero"/>
        <c:auto val="1"/>
        <c:lblAlgn val="ctr"/>
        <c:lblOffset val="100"/>
        <c:noMultiLvlLbl val="0"/>
      </c:catAx>
      <c:valAx>
        <c:axId val="195218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9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ANALYSIS : </a:t>
            </a:r>
          </a:p>
          <a:p>
            <a:pPr>
              <a:defRPr/>
            </a:pPr>
            <a:r>
              <a:rPr lang="en-IN"/>
              <a:t>AVERAGE PURCHASE VALUE = TOTAL AMOUNT / TOTAL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Grocery</c:v>
              </c:pt>
              <c:pt idx="1">
                <c:v>Clothing</c:v>
              </c:pt>
              <c:pt idx="2">
                <c:v>Home Decor</c:v>
              </c:pt>
              <c:pt idx="3">
                <c:v>Electronics</c:v>
              </c:pt>
              <c:pt idx="4">
                <c:v>Books</c:v>
              </c:pt>
              <c:pt idx="5">
                <c:v>Others</c:v>
              </c:pt>
            </c:strLit>
          </c:cat>
          <c:val>
            <c:numLit>
              <c:formatCode>General</c:formatCode>
              <c:ptCount val="6"/>
              <c:pt idx="0">
                <c:v>254.9442311593412</c:v>
              </c:pt>
              <c:pt idx="1">
                <c:v>254.99584604891925</c:v>
              </c:pt>
              <c:pt idx="2">
                <c:v>255.33367418888662</c:v>
              </c:pt>
              <c:pt idx="3">
                <c:v>255.36556734938213</c:v>
              </c:pt>
              <c:pt idx="4">
                <c:v>255.46320077996558</c:v>
              </c:pt>
              <c:pt idx="5">
                <c:v>257.56421398955638</c:v>
              </c:pt>
            </c:numLit>
          </c:val>
          <c:extLst>
            <c:ext xmlns:c16="http://schemas.microsoft.com/office/drawing/2014/chart" uri="{C3380CC4-5D6E-409C-BE32-E72D297353CC}">
              <c16:uniqueId val="{00000000-9DAB-40BF-9348-EF56B780E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3193712"/>
        <c:axId val="393184592"/>
        <c:axId val="0"/>
      </c:bar3DChart>
      <c:catAx>
        <c:axId val="39319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84592"/>
        <c:crosses val="autoZero"/>
        <c:auto val="1"/>
        <c:lblAlgn val="ctr"/>
        <c:lblOffset val="100"/>
        <c:noMultiLvlLbl val="0"/>
      </c:catAx>
      <c:valAx>
        <c:axId val="39318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9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GEOGRAPHIC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OTHERS</c:v>
              </c:pt>
              <c:pt idx="1">
                <c:v>Canada</c:v>
              </c:pt>
              <c:pt idx="2">
                <c:v>Australia</c:v>
              </c:pt>
              <c:pt idx="3">
                <c:v>Germany</c:v>
              </c:pt>
              <c:pt idx="4">
                <c:v>UK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266</c:v>
              </c:pt>
              <c:pt idx="1">
                <c:v>43935</c:v>
              </c:pt>
              <c:pt idx="2">
                <c:v>43961</c:v>
              </c:pt>
              <c:pt idx="3">
                <c:v>51456</c:v>
              </c:pt>
              <c:pt idx="4">
                <c:v>61698</c:v>
              </c:pt>
              <c:pt idx="5">
                <c:v>93145</c:v>
              </c:pt>
            </c:numLit>
          </c:val>
          <c:extLst>
            <c:ext xmlns:c16="http://schemas.microsoft.com/office/drawing/2014/chart" uri="{C3380CC4-5D6E-409C-BE32-E72D297353CC}">
              <c16:uniqueId val="{00000000-2C50-4A7D-8B15-1342DFEBD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5487536"/>
        <c:axId val="1800937216"/>
        <c:axId val="0"/>
      </c:bar3DChart>
      <c:catAx>
        <c:axId val="21548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37216"/>
        <c:crosses val="autoZero"/>
        <c:auto val="1"/>
        <c:lblAlgn val="ctr"/>
        <c:lblOffset val="100"/>
        <c:noMultiLvlLbl val="0"/>
      </c:catAx>
      <c:valAx>
        <c:axId val="180093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48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SHIPPING</a:t>
            </a:r>
            <a:r>
              <a:rPr lang="en-IN" baseline="0"/>
              <a:t> METHOD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577551084608299"/>
          <c:y val="0.25362216987006603"/>
          <c:w val="0.30807274958379027"/>
          <c:h val="0.59320492505379041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3"/>
              <c:pt idx="0">
                <c:v>Standard</c:v>
              </c:pt>
              <c:pt idx="1">
                <c:v>Express</c:v>
              </c:pt>
              <c:pt idx="2">
                <c:v>Same-Day</c:v>
              </c:pt>
            </c:strLit>
          </c:cat>
          <c:val>
            <c:numLit>
              <c:formatCode>General</c:formatCode>
              <c:ptCount val="3"/>
              <c:pt idx="0">
                <c:v>126751680.42957453</c:v>
              </c:pt>
              <c:pt idx="1">
                <c:v>136442746.90421748</c:v>
              </c:pt>
              <c:pt idx="2">
                <c:v>138775135.43627787</c:v>
              </c:pt>
            </c:numLit>
          </c:val>
          <c:extLst>
            <c:ext xmlns:c16="http://schemas.microsoft.com/office/drawing/2014/chart" uri="{C3380CC4-5D6E-409C-BE32-E72D297353CC}">
              <c16:uniqueId val="{00000000-EFA6-4125-8BB7-82B0D4EF7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6269504"/>
        <c:axId val="1906270464"/>
      </c:barChart>
      <c:valAx>
        <c:axId val="190627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69504"/>
        <c:crosses val="autoZero"/>
        <c:crossBetween val="between"/>
      </c:valAx>
      <c:catAx>
        <c:axId val="1906269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7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SALES ANALYSIS FOR EACH CATEGORY</a:t>
            </a:r>
          </a:p>
        </c:rich>
      </c:tx>
      <c:layout>
        <c:manualLayout>
          <c:xMode val="edge"/>
          <c:yMode val="edge"/>
          <c:x val="0.25176768255493032"/>
          <c:y val="9.847433891036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30667.310557699995</c:v>
              </c:pt>
              <c:pt idx="1">
                <c:v>12208.618499609998</c:v>
              </c:pt>
              <c:pt idx="2">
                <c:v>30742.20612024</c:v>
              </c:pt>
              <c:pt idx="3">
                <c:v>56228.398181369987</c:v>
              </c:pt>
              <c:pt idx="4">
                <c:v>52087.0278101</c:v>
              </c:pt>
              <c:pt idx="5">
                <c:v>15400.757552630001</c:v>
              </c:pt>
              <c:pt idx="6">
                <c:v>30176.13954253</c:v>
              </c:pt>
              <c:pt idx="7">
                <c:v>48435.670693469991</c:v>
              </c:pt>
              <c:pt idx="8">
                <c:v>25900.884901040004</c:v>
              </c:pt>
              <c:pt idx="9">
                <c:v>23165.052808209999</c:v>
              </c:pt>
              <c:pt idx="10">
                <c:v>25636.366234100002</c:v>
              </c:pt>
              <c:pt idx="11">
                <c:v>21016.727885929999</c:v>
              </c:pt>
            </c:numLit>
          </c:val>
          <c:extLst>
            <c:ext xmlns:c16="http://schemas.microsoft.com/office/drawing/2014/chart" uri="{C3380CC4-5D6E-409C-BE32-E72D297353CC}">
              <c16:uniqueId val="{00000000-1D84-49F8-B2EF-506812428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787414544"/>
        <c:axId val="1787415024"/>
      </c:barChart>
      <c:valAx>
        <c:axId val="178741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414544"/>
        <c:crosses val="autoZero"/>
        <c:crossBetween val="between"/>
      </c:valAx>
      <c:catAx>
        <c:axId val="1787414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415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Female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NA</c:v>
              </c:pt>
              <c:pt idx="1">
                <c:v>Home Decor</c:v>
              </c:pt>
              <c:pt idx="2">
                <c:v>Books</c:v>
              </c:pt>
              <c:pt idx="3">
                <c:v>Clothing</c:v>
              </c:pt>
              <c:pt idx="4">
                <c:v>Grocery</c:v>
              </c:pt>
              <c:pt idx="5">
                <c:v>Electronics</c:v>
              </c:pt>
            </c:strLit>
          </c:cat>
          <c:val>
            <c:numLit>
              <c:formatCode>General</c:formatCode>
              <c:ptCount val="6"/>
              <c:pt idx="0">
                <c:v>158084.06791192997</c:v>
              </c:pt>
              <c:pt idx="1">
                <c:v>28349585.503522482</c:v>
              </c:pt>
              <c:pt idx="2">
                <c:v>28071660.222019449</c:v>
              </c:pt>
              <c:pt idx="3">
                <c:v>28062235.823972967</c:v>
              </c:pt>
              <c:pt idx="4">
                <c:v>34702303.943956882</c:v>
              </c:pt>
              <c:pt idx="5">
                <c:v>32874051.858752966</c:v>
              </c:pt>
            </c:numLit>
          </c:val>
          <c:extLst>
            <c:ext xmlns:c16="http://schemas.microsoft.com/office/drawing/2014/chart" uri="{C3380CC4-5D6E-409C-BE32-E72D297353CC}">
              <c16:uniqueId val="{00000000-D349-473E-8104-93DA49C34C87}"/>
            </c:ext>
          </c:extLst>
        </c:ser>
        <c:ser>
          <c:idx val="1"/>
          <c:order val="1"/>
          <c:tx>
            <c:v>Male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NA</c:v>
              </c:pt>
              <c:pt idx="1">
                <c:v>Home Decor</c:v>
              </c:pt>
              <c:pt idx="2">
                <c:v>Books</c:v>
              </c:pt>
              <c:pt idx="3">
                <c:v>Clothing</c:v>
              </c:pt>
              <c:pt idx="4">
                <c:v>Grocery</c:v>
              </c:pt>
              <c:pt idx="5">
                <c:v>Electronics</c:v>
              </c:pt>
            </c:strLit>
          </c:cat>
          <c:val>
            <c:numLit>
              <c:formatCode>General</c:formatCode>
              <c:ptCount val="6"/>
              <c:pt idx="0">
                <c:v>213581.09287500009</c:v>
              </c:pt>
              <c:pt idx="1">
                <c:v>43982349.279068112</c:v>
              </c:pt>
              <c:pt idx="2">
                <c:v>44515200.004026644</c:v>
              </c:pt>
              <c:pt idx="3">
                <c:v>44871441.327899694</c:v>
              </c:pt>
              <c:pt idx="4">
                <c:v>54185960.523228608</c:v>
              </c:pt>
              <c:pt idx="5">
                <c:v>62054998.927361257</c:v>
              </c:pt>
            </c:numLit>
          </c:val>
          <c:extLst>
            <c:ext xmlns:c16="http://schemas.microsoft.com/office/drawing/2014/chart" uri="{C3380CC4-5D6E-409C-BE32-E72D297353CC}">
              <c16:uniqueId val="{00000001-D349-473E-8104-93DA49C34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0053728"/>
        <c:axId val="1200067168"/>
        <c:axId val="0"/>
      </c:bar3DChart>
      <c:catAx>
        <c:axId val="120005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67168"/>
        <c:crosses val="autoZero"/>
        <c:auto val="1"/>
        <c:lblAlgn val="ctr"/>
        <c:lblOffset val="100"/>
        <c:noMultiLvlLbl val="0"/>
      </c:catAx>
      <c:valAx>
        <c:axId val="120006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5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Segmentation</a:t>
            </a:r>
          </a:p>
          <a:p>
            <a:pPr>
              <a:defRPr/>
            </a:pPr>
            <a:r>
              <a:rPr lang="en-US"/>
              <a:t>(TOTAL TRANSACTIONS PER SEGMENT)</a:t>
            </a:r>
          </a:p>
        </c:rich>
      </c:tx>
      <c:layout>
        <c:manualLayout>
          <c:xMode val="edge"/>
          <c:yMode val="edge"/>
          <c:x val="0.35079705759571345"/>
          <c:y val="7.8200223937004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4"/>
              <c:pt idx="0">
                <c:v>Others</c:v>
              </c:pt>
              <c:pt idx="1">
                <c:v>Premium</c:v>
              </c:pt>
              <c:pt idx="2">
                <c:v>New</c:v>
              </c:pt>
              <c:pt idx="3">
                <c:v>Regular</c:v>
              </c:pt>
            </c:strLit>
          </c:cat>
          <c:val>
            <c:numLit>
              <c:formatCode>General</c:formatCode>
              <c:ptCount val="4"/>
              <c:pt idx="0">
                <c:v>208</c:v>
              </c:pt>
              <c:pt idx="1">
                <c:v>62254</c:v>
              </c:pt>
              <c:pt idx="2">
                <c:v>88778</c:v>
              </c:pt>
              <c:pt idx="3">
                <c:v>143221</c:v>
              </c:pt>
            </c:numLit>
          </c:val>
          <c:extLst>
            <c:ext xmlns:c16="http://schemas.microsoft.com/office/drawing/2014/chart" uri="{C3380CC4-5D6E-409C-BE32-E72D297353CC}">
              <c16:uniqueId val="{00000000-CDC2-4685-A9EE-92C15E5E5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2162463"/>
        <c:axId val="1952157663"/>
      </c:barChart>
      <c:valAx>
        <c:axId val="195215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62463"/>
        <c:crosses val="autoZero"/>
        <c:crossBetween val="between"/>
      </c:valAx>
      <c:catAx>
        <c:axId val="19521624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57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272194</xdr:colOff>
      <xdr:row>2</xdr:row>
      <xdr:rowOff>15983</xdr:rowOff>
    </xdr:from>
    <xdr:to>
      <xdr:col>8</xdr:col>
      <xdr:colOff>64214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29D8E-C3A0-47ED-B495-17A0D15C5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250647</xdr:colOff>
      <xdr:row>1</xdr:row>
      <xdr:rowOff>96892</xdr:rowOff>
    </xdr:from>
    <xdr:to>
      <xdr:col>14</xdr:col>
      <xdr:colOff>542248</xdr:colOff>
      <xdr:row>16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8BE624-7A58-447E-BEDB-C05BD4C5D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467260</xdr:colOff>
      <xdr:row>16</xdr:row>
      <xdr:rowOff>78482</xdr:rowOff>
    </xdr:from>
    <xdr:to>
      <xdr:col>8</xdr:col>
      <xdr:colOff>92752</xdr:colOff>
      <xdr:row>33</xdr:row>
      <xdr:rowOff>7205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3F0510-2455-4163-8EDE-2C4A4F8F9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237091</xdr:colOff>
      <xdr:row>16</xdr:row>
      <xdr:rowOff>100031</xdr:rowOff>
    </xdr:from>
    <xdr:to>
      <xdr:col>16</xdr:col>
      <xdr:colOff>325991</xdr:colOff>
      <xdr:row>31</xdr:row>
      <xdr:rowOff>102456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DD3815-F455-4660-996F-B27FB57D9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527977</xdr:colOff>
      <xdr:row>20</xdr:row>
      <xdr:rowOff>1</xdr:rowOff>
    </xdr:from>
    <xdr:to>
      <xdr:col>22</xdr:col>
      <xdr:colOff>485167</xdr:colOff>
      <xdr:row>38</xdr:row>
      <xdr:rowOff>386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B67914-3503-4CEE-802C-82830A476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113293</xdr:colOff>
      <xdr:row>32</xdr:row>
      <xdr:rowOff>156966</xdr:rowOff>
    </xdr:from>
    <xdr:to>
      <xdr:col>9</xdr:col>
      <xdr:colOff>456629</xdr:colOff>
      <xdr:row>46</xdr:row>
      <xdr:rowOff>107022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1BECA2-CB59-460E-9E98-9C0790725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99888</xdr:colOff>
      <xdr:row>47</xdr:row>
      <xdr:rowOff>114158</xdr:rowOff>
    </xdr:from>
    <xdr:to>
      <xdr:col>8</xdr:col>
      <xdr:colOff>107023</xdr:colOff>
      <xdr:row>63</xdr:row>
      <xdr:rowOff>128716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D2FFA2-731A-4C38-8470-53DBF0526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579753</xdr:colOff>
      <xdr:row>33</xdr:row>
      <xdr:rowOff>42807</xdr:rowOff>
    </xdr:from>
    <xdr:to>
      <xdr:col>16</xdr:col>
      <xdr:colOff>435225</xdr:colOff>
      <xdr:row>46</xdr:row>
      <xdr:rowOff>128425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8F69CC-FC0F-4055-9770-3A8A8D77A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16075</xdr:colOff>
      <xdr:row>37</xdr:row>
      <xdr:rowOff>128606</xdr:rowOff>
    </xdr:from>
    <xdr:to>
      <xdr:col>21</xdr:col>
      <xdr:colOff>843987</xdr:colOff>
      <xdr:row>54</xdr:row>
      <xdr:rowOff>24113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C4668C6-0218-4F80-910C-6EC1938B3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318561</xdr:colOff>
      <xdr:row>47</xdr:row>
      <xdr:rowOff>107024</xdr:rowOff>
    </xdr:from>
    <xdr:to>
      <xdr:col>16</xdr:col>
      <xdr:colOff>99887</xdr:colOff>
      <xdr:row>63</xdr:row>
      <xdr:rowOff>107024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7F43FE0-5648-4375-BB98-9FE4F6D55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409936</xdr:colOff>
      <xdr:row>54</xdr:row>
      <xdr:rowOff>64304</xdr:rowOff>
    </xdr:from>
    <xdr:to>
      <xdr:col>22</xdr:col>
      <xdr:colOff>63257</xdr:colOff>
      <xdr:row>64</xdr:row>
      <xdr:rowOff>128607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A72CF3A-8769-4E5E-8F40-11C332882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e37ad6c92d151ec/Desktop/Retail%20Performance%20Analysis%20Dashboard.xlsx" TargetMode="External"/><Relationship Id="rId1" Type="http://schemas.openxmlformats.org/officeDocument/2006/relationships/externalLinkPath" Target="Retail%20Performance%20Analysis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 TABLE1"/>
      <sheetName val="CLEAN TABLE2"/>
      <sheetName val="PT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D626-C6AA-4A7C-9B40-941B967D1DD2}">
  <dimension ref="S2:AC18"/>
  <sheetViews>
    <sheetView tabSelected="1" topLeftCell="N1" zoomScale="79" zoomScaleNormal="79" workbookViewId="0">
      <selection activeCell="S2" sqref="S2:V3"/>
    </sheetView>
  </sheetViews>
  <sheetFormatPr defaultRowHeight="14.5" x14ac:dyDescent="0.35"/>
  <cols>
    <col min="19" max="19" width="21.54296875" customWidth="1"/>
    <col min="20" max="20" width="15.6328125" bestFit="1" customWidth="1"/>
    <col min="21" max="21" width="16.54296875" bestFit="1" customWidth="1"/>
    <col min="22" max="22" width="13.81640625" bestFit="1" customWidth="1"/>
    <col min="23" max="23" width="12.26953125" bestFit="1" customWidth="1"/>
    <col min="24" max="24" width="13.1796875" bestFit="1" customWidth="1"/>
    <col min="25" max="25" width="12.1796875" bestFit="1" customWidth="1"/>
    <col min="26" max="26" width="18.36328125" bestFit="1" customWidth="1"/>
    <col min="27" max="27" width="15.36328125" bestFit="1" customWidth="1"/>
    <col min="28" max="28" width="9.7265625" bestFit="1" customWidth="1"/>
    <col min="29" max="29" width="12.90625" bestFit="1" customWidth="1"/>
  </cols>
  <sheetData>
    <row r="2" spans="19:27" x14ac:dyDescent="0.35">
      <c r="S2" s="23" t="s">
        <v>16</v>
      </c>
      <c r="T2" s="23"/>
      <c r="U2" s="23"/>
      <c r="V2" s="23"/>
    </row>
    <row r="3" spans="19:27" x14ac:dyDescent="0.35">
      <c r="S3" s="23"/>
      <c r="T3" s="23"/>
      <c r="U3" s="23"/>
      <c r="V3" s="23"/>
    </row>
    <row r="5" spans="19:27" ht="15" thickBot="1" x14ac:dyDescent="0.4"/>
    <row r="6" spans="19:27" ht="26.5" thickBot="1" x14ac:dyDescent="0.65">
      <c r="S6" s="22" t="s">
        <v>13</v>
      </c>
      <c r="T6" s="21"/>
      <c r="U6" s="21"/>
      <c r="V6" s="20"/>
    </row>
    <row r="7" spans="19:27" x14ac:dyDescent="0.35">
      <c r="S7" s="19">
        <v>97683</v>
      </c>
      <c r="T7" s="19"/>
      <c r="U7" s="19"/>
      <c r="V7" s="19"/>
      <c r="X7" s="7"/>
    </row>
    <row r="8" spans="19:27" ht="15" thickBot="1" x14ac:dyDescent="0.4"/>
    <row r="9" spans="19:27" ht="16.5" thickBot="1" x14ac:dyDescent="0.45">
      <c r="S9" s="6" t="s">
        <v>15</v>
      </c>
      <c r="T9" s="18" t="s">
        <v>14</v>
      </c>
      <c r="U9" s="17" t="s">
        <v>13</v>
      </c>
      <c r="V9" s="16"/>
      <c r="X9" s="15"/>
    </row>
    <row r="10" spans="19:27" x14ac:dyDescent="0.35">
      <c r="S10" s="4" t="str">
        <f>INDEX([1]!Table157[Email],MATCH(S7,[1]!Table157[Customer_ID],0))</f>
        <v>Kelsey82@gmail.com</v>
      </c>
      <c r="T10" s="4">
        <f>INDEX([1]!Table157[Phone],MATCH(S7,[1]!Table157[Customer_ID],0))</f>
        <v>6566997489</v>
      </c>
      <c r="U10" s="4">
        <f>INDEX([1]!Table157[Customer_ID],MATCH(S7,[1]!Table157[Customer_ID],0))</f>
        <v>97683</v>
      </c>
    </row>
    <row r="11" spans="19:27" ht="15" thickBot="1" x14ac:dyDescent="0.4"/>
    <row r="12" spans="19:27" ht="16.5" thickBot="1" x14ac:dyDescent="0.45">
      <c r="S12" s="14" t="s">
        <v>12</v>
      </c>
      <c r="T12" s="13"/>
      <c r="U12" s="13"/>
      <c r="V12" s="12"/>
    </row>
    <row r="13" spans="19:27" x14ac:dyDescent="0.35">
      <c r="S13" s="11" t="str">
        <f>INDEX([1]!Table157[Address],MATCH(S7,[1]!Table157[Customer_ID],0))</f>
        <v>21033 Derrick Motorway</v>
      </c>
      <c r="T13" s="11"/>
      <c r="U13" s="11"/>
      <c r="V13" s="11"/>
    </row>
    <row r="14" spans="19:27" ht="15" thickBot="1" x14ac:dyDescent="0.4"/>
    <row r="15" spans="19:27" ht="19" thickBot="1" x14ac:dyDescent="0.5">
      <c r="S15" s="10" t="s">
        <v>11</v>
      </c>
      <c r="T15" s="9"/>
      <c r="U15" s="9"/>
      <c r="V15" s="9"/>
      <c r="W15" s="9"/>
      <c r="X15" s="8"/>
      <c r="Y15" s="7"/>
      <c r="Z15" s="7"/>
      <c r="AA15" s="7"/>
    </row>
    <row r="16" spans="19:27" ht="15" thickBot="1" x14ac:dyDescent="0.4">
      <c r="S16" s="7"/>
      <c r="T16" s="7"/>
      <c r="U16" s="7"/>
      <c r="V16" s="7"/>
      <c r="W16" s="7"/>
      <c r="X16" s="7"/>
      <c r="Y16" s="7"/>
      <c r="Z16" s="7"/>
      <c r="AA16" s="7"/>
    </row>
    <row r="17" spans="19:29" ht="16.5" thickBot="1" x14ac:dyDescent="0.45">
      <c r="S17" s="5" t="s">
        <v>10</v>
      </c>
      <c r="T17" s="5" t="s">
        <v>9</v>
      </c>
      <c r="U17" s="5" t="s">
        <v>8</v>
      </c>
      <c r="V17" s="5" t="s">
        <v>7</v>
      </c>
      <c r="W17" s="5" t="s">
        <v>6</v>
      </c>
      <c r="X17" s="6" t="s">
        <v>5</v>
      </c>
      <c r="Y17" s="5" t="s">
        <v>4</v>
      </c>
      <c r="Z17" s="5" t="s">
        <v>3</v>
      </c>
      <c r="AA17" s="5" t="s">
        <v>2</v>
      </c>
      <c r="AB17" s="5" t="s">
        <v>1</v>
      </c>
      <c r="AC17" s="5" t="s">
        <v>0</v>
      </c>
    </row>
    <row r="18" spans="19:29" ht="16" x14ac:dyDescent="0.4">
      <c r="S18" s="4">
        <f>INDEX([1]!Table157[Transaction_ID],MATCH(S7,[1]!Table157[Customer_ID],0))</f>
        <v>4427458</v>
      </c>
      <c r="T18" s="4" t="str">
        <f>INDEX([1]!Table157[Name],MATCH(S7,[1]!Table157[Customer_ID],0))</f>
        <v>Dr. Chad Lindsey</v>
      </c>
      <c r="U18" t="str">
        <f>INDEX([1]!Table157[Product_Category],MATCH(S7,[1]!Table157[Customer_ID],0))</f>
        <v>Clothing</v>
      </c>
      <c r="V18" t="str">
        <f>INDEX([1]!Table157[Product_Brand],MATCH(S7,[1]!Table157[Customer_ID],0))</f>
        <v>Nike</v>
      </c>
      <c r="W18" t="str">
        <f>INDEX([1]!Table157[Order_Status],MATCH(S7,[1]!Table157[Customer_ID],0))</f>
        <v>Delivered</v>
      </c>
      <c r="X18" s="3">
        <f>INDEX([1]!Table157[Amount],MATCH(S7,[1]!Table157[Customer_ID],0))</f>
        <v>85.156932459999993</v>
      </c>
      <c r="Y18" t="str">
        <f>INDEX([1]!Table157[Month],MATCH(S7,[1]!Table157[Customer_ID],0))</f>
        <v>November</v>
      </c>
      <c r="Z18" t="str">
        <f>INDEX([1]!Table157[Customer_Segment],MATCH(S7,[1]!Table157[Customer_ID],0))</f>
        <v>Regular</v>
      </c>
      <c r="AA18" s="2">
        <f>INDEX([1]!Table157[Total_Purchases],MATCH(S7,[1]!Table157[Customer_ID],0))</f>
        <v>3</v>
      </c>
      <c r="AB18" s="1" t="str">
        <f>INDEX([1]!Table157[Feedback],MATCH(S7,[1]!Table157[Customer_ID],0))</f>
        <v>Average</v>
      </c>
      <c r="AC18" t="str">
        <f>INDEX([1]!Table157[Income],MATCH(S7,[1]!Table157[Customer_ID],0))</f>
        <v>Low</v>
      </c>
    </row>
  </sheetData>
  <mergeCells count="5">
    <mergeCell ref="S6:V6"/>
    <mergeCell ref="S7:V7"/>
    <mergeCell ref="S13:V13"/>
    <mergeCell ref="S15:X15"/>
    <mergeCell ref="S2:V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Nath</dc:creator>
  <cp:lastModifiedBy>Ishita Nath</cp:lastModifiedBy>
  <dcterms:created xsi:type="dcterms:W3CDTF">2026-01-21T15:03:41Z</dcterms:created>
  <dcterms:modified xsi:type="dcterms:W3CDTF">2026-01-21T15:07:05Z</dcterms:modified>
</cp:coreProperties>
</file>