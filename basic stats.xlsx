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e37ad6c92d151ec/Desktop/"/>
    </mc:Choice>
  </mc:AlternateContent>
  <xr:revisionPtr revIDLastSave="0" documentId="8_{AE89B49F-920E-44B5-B30F-EECCFDAAA8DC}" xr6:coauthVersionLast="47" xr6:coauthVersionMax="47" xr10:uidLastSave="{00000000-0000-0000-0000-000000000000}"/>
  <bookViews>
    <workbookView xWindow="-110" yWindow="-110" windowWidth="19420" windowHeight="11500" xr2:uid="{D043A12B-63A4-439A-9239-539E79A00EE7}"/>
  </bookViews>
  <sheets>
    <sheet name="BASIC STATS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D12" i="1"/>
  <c r="E12" i="1"/>
  <c r="D13" i="1"/>
  <c r="E13" i="1"/>
  <c r="D14" i="1"/>
  <c r="E14" i="1"/>
  <c r="D15" i="1"/>
  <c r="E15" i="1"/>
  <c r="D16" i="1"/>
  <c r="E16" i="1"/>
  <c r="D17" i="1"/>
  <c r="E17" i="1"/>
  <c r="B18" i="1"/>
  <c r="F18" i="1"/>
  <c r="G18" i="1"/>
  <c r="H18" i="1"/>
  <c r="I18" i="1"/>
  <c r="J18" i="1" a="1"/>
  <c r="J18" i="1" s="1"/>
  <c r="K18" i="1"/>
  <c r="L18" i="1"/>
  <c r="M18" i="1"/>
  <c r="N18" i="1"/>
  <c r="B19" i="1"/>
  <c r="D19" i="1"/>
  <c r="E19" i="1"/>
  <c r="D20" i="1"/>
  <c r="E20" i="1"/>
  <c r="D21" i="1"/>
  <c r="E21" i="1"/>
  <c r="B22" i="1"/>
  <c r="D22" i="1"/>
  <c r="E22" i="1"/>
  <c r="D23" i="1"/>
  <c r="E23" i="1"/>
  <c r="D24" i="1"/>
  <c r="E24" i="1"/>
  <c r="D25" i="1"/>
  <c r="E25" i="1"/>
  <c r="P25" i="1"/>
  <c r="B26" i="1"/>
  <c r="D26" i="1"/>
  <c r="E26" i="1"/>
  <c r="D27" i="1"/>
  <c r="E27" i="1"/>
  <c r="D28" i="1"/>
  <c r="E28" i="1"/>
  <c r="D29" i="1"/>
  <c r="E29" i="1"/>
  <c r="B30" i="1"/>
  <c r="B31" i="1"/>
  <c r="B32" i="1"/>
  <c r="D32" i="1"/>
  <c r="E32" i="1"/>
  <c r="D33" i="1"/>
  <c r="E33" i="1"/>
  <c r="D34" i="1"/>
  <c r="E34" i="1"/>
  <c r="B35" i="1"/>
  <c r="B36" i="1"/>
  <c r="B37" i="1"/>
  <c r="F37" i="1"/>
  <c r="G37" i="1"/>
  <c r="H37" i="1"/>
  <c r="I37" i="1"/>
  <c r="K37" i="1"/>
  <c r="L37" i="1"/>
  <c r="M37" i="1"/>
  <c r="N37" i="1"/>
  <c r="B38" i="1"/>
  <c r="F38" i="1"/>
  <c r="G38" i="1"/>
  <c r="H38" i="1"/>
  <c r="I38" i="1"/>
  <c r="K38" i="1"/>
  <c r="L38" i="1"/>
  <c r="M38" i="1"/>
  <c r="N38" i="1"/>
  <c r="B39" i="1"/>
  <c r="F39" i="1"/>
  <c r="G39" i="1"/>
  <c r="H39" i="1"/>
  <c r="I39" i="1"/>
  <c r="K39" i="1"/>
  <c r="L39" i="1"/>
  <c r="M39" i="1"/>
  <c r="N39" i="1"/>
  <c r="B40" i="1"/>
  <c r="D40" i="1"/>
  <c r="E40" i="1"/>
  <c r="D41" i="1"/>
  <c r="E41" i="1"/>
  <c r="D42" i="1"/>
  <c r="E42" i="1"/>
  <c r="D43" i="1"/>
  <c r="E43" i="1"/>
  <c r="D44" i="1"/>
  <c r="E44" i="1"/>
  <c r="D45" i="1"/>
  <c r="E45" i="1"/>
  <c r="B46" i="1"/>
  <c r="B47" i="1"/>
  <c r="B48" i="1"/>
  <c r="D48" i="1"/>
  <c r="E48" i="1"/>
  <c r="D49" i="1"/>
  <c r="E49" i="1"/>
  <c r="D50" i="1"/>
  <c r="E50" i="1"/>
  <c r="D51" i="1"/>
  <c r="E51" i="1"/>
  <c r="D52" i="1"/>
  <c r="E52" i="1"/>
  <c r="B53" i="1"/>
  <c r="D53" i="1"/>
  <c r="E53" i="1"/>
  <c r="D54" i="1"/>
  <c r="E54" i="1"/>
  <c r="D55" i="1"/>
  <c r="E55" i="1"/>
  <c r="D56" i="1"/>
  <c r="E56" i="1"/>
  <c r="B57" i="1"/>
  <c r="D57" i="1"/>
  <c r="E57" i="1"/>
  <c r="D58" i="1"/>
  <c r="E58" i="1"/>
  <c r="D59" i="1"/>
  <c r="E59" i="1"/>
  <c r="D60" i="1"/>
  <c r="E60" i="1"/>
  <c r="D61" i="1"/>
  <c r="E61" i="1"/>
  <c r="B62" i="1"/>
  <c r="D62" i="1"/>
  <c r="E62" i="1"/>
  <c r="D63" i="1"/>
  <c r="E63" i="1"/>
  <c r="D64" i="1"/>
  <c r="E64" i="1"/>
  <c r="D65" i="1"/>
  <c r="E65" i="1"/>
  <c r="D66" i="1"/>
  <c r="E66" i="1"/>
  <c r="B67" i="1"/>
  <c r="D67" i="1"/>
  <c r="E67" i="1"/>
  <c r="F67" i="1"/>
  <c r="G67" i="1"/>
  <c r="H67" i="1"/>
  <c r="I67" i="1"/>
  <c r="K67" i="1"/>
  <c r="L67" i="1"/>
  <c r="M67" i="1"/>
  <c r="N67" i="1"/>
  <c r="D68" i="1"/>
  <c r="E68" i="1"/>
  <c r="D69" i="1"/>
  <c r="E69" i="1"/>
  <c r="D70" i="1"/>
  <c r="E70" i="1"/>
  <c r="D71" i="1"/>
  <c r="E71" i="1"/>
  <c r="D72" i="1"/>
  <c r="E72" i="1"/>
  <c r="B7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<sst xmlns="http://schemas.openxmlformats.org/spreadsheetml/2006/main" count="90" uniqueCount="80">
  <si>
    <t>products</t>
  </si>
  <si>
    <t>NA</t>
  </si>
  <si>
    <t>Ratings</t>
  </si>
  <si>
    <t>Pending</t>
  </si>
  <si>
    <t>Processing</t>
  </si>
  <si>
    <t>Shipped</t>
  </si>
  <si>
    <t>Delivered</t>
  </si>
  <si>
    <t>Order_Status</t>
  </si>
  <si>
    <t>PayPal</t>
  </si>
  <si>
    <t>Credit Card</t>
  </si>
  <si>
    <t>Debit Card</t>
  </si>
  <si>
    <t>Cash</t>
  </si>
  <si>
    <t>Payment_Method</t>
  </si>
  <si>
    <t>Same-day</t>
  </si>
  <si>
    <t>Express</t>
  </si>
  <si>
    <t>Standard</t>
  </si>
  <si>
    <t>Shipping_Method</t>
  </si>
  <si>
    <t>Bad</t>
  </si>
  <si>
    <t>Average</t>
  </si>
  <si>
    <t>Good</t>
  </si>
  <si>
    <t>Excellent</t>
  </si>
  <si>
    <t>Feedback</t>
  </si>
  <si>
    <t>Product_Type</t>
  </si>
  <si>
    <t>Product_Brand</t>
  </si>
  <si>
    <t>Home Décor</t>
  </si>
  <si>
    <t>Grocery</t>
  </si>
  <si>
    <t>Electronics</t>
  </si>
  <si>
    <t>Clothing</t>
  </si>
  <si>
    <t>Books</t>
  </si>
  <si>
    <t>Product_Category</t>
  </si>
  <si>
    <t>Total_Amount</t>
  </si>
  <si>
    <t>Amount</t>
  </si>
  <si>
    <t>Total_Purchases</t>
  </si>
  <si>
    <t>Time</t>
  </si>
  <si>
    <t>Month</t>
  </si>
  <si>
    <t>Year</t>
  </si>
  <si>
    <t>clean_date</t>
  </si>
  <si>
    <t>Date</t>
  </si>
  <si>
    <t>Premium</t>
  </si>
  <si>
    <t>Regular</t>
  </si>
  <si>
    <t>New</t>
  </si>
  <si>
    <t>Customer_Segment</t>
  </si>
  <si>
    <t>observations</t>
  </si>
  <si>
    <t>Low</t>
  </si>
  <si>
    <t>Medium</t>
  </si>
  <si>
    <t>High</t>
  </si>
  <si>
    <t>Income</t>
  </si>
  <si>
    <t>Female</t>
  </si>
  <si>
    <t>Male</t>
  </si>
  <si>
    <t>Gender</t>
  </si>
  <si>
    <t>Age</t>
  </si>
  <si>
    <t>USA</t>
  </si>
  <si>
    <t>UK</t>
  </si>
  <si>
    <t>Germany</t>
  </si>
  <si>
    <t>Canada</t>
  </si>
  <si>
    <t>Australia</t>
  </si>
  <si>
    <t>Country</t>
  </si>
  <si>
    <t>Zipcode</t>
  </si>
  <si>
    <t>State</t>
  </si>
  <si>
    <t>City</t>
  </si>
  <si>
    <t>Address</t>
  </si>
  <si>
    <t>Phone</t>
  </si>
  <si>
    <t>Email</t>
  </si>
  <si>
    <t>Name</t>
  </si>
  <si>
    <t>Customer_ID</t>
  </si>
  <si>
    <t>Transaction_ID</t>
  </si>
  <si>
    <t>CORRELATION</t>
  </si>
  <si>
    <t>KURTOSIS</t>
  </si>
  <si>
    <t>SKEWNESS</t>
  </si>
  <si>
    <t>SD</t>
  </si>
  <si>
    <t>RANGE</t>
  </si>
  <si>
    <t>MODE</t>
  </si>
  <si>
    <t>MEDIAN</t>
  </si>
  <si>
    <t>MEAN</t>
  </si>
  <si>
    <t>MAX</t>
  </si>
  <si>
    <t>MIN</t>
  </si>
  <si>
    <t>PROPORTION</t>
  </si>
  <si>
    <t>FREQUENCY</t>
  </si>
  <si>
    <t>COUNT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</si>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</sst>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10" fontId="0" fillId="0" borderId="1" xfId="0" applyNumberFormat="1" applyBorder="1"/>
    <xf numFmtId="10" fontId="0" fillId="0" borderId="1" xfId="1" applyNumberFormat="1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9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e37ad6c92d151ec/Desktop/Retail%20Performance%20Analysis%20Dashboard.xlsx" TargetMode="External"/><Relationship Id="rId1" Type="http://schemas.openxmlformats.org/officeDocument/2006/relationships/externalLinkPath" Target="Retail%20Performance%20Analysis%20Dashboar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e37ad6c92d151ec/Desktop/MBA/FSM-PGDM%20BDA/TERM%201/DAEP%20-%20Data%20Analysis%20using%20Excel%20%5e0%20Python/copy%20of%20in26_11072025_version1.xlsx" TargetMode="External"/><Relationship Id="rId1" Type="http://schemas.openxmlformats.org/officeDocument/2006/relationships/externalLinkPath" Target="FSM-PGDM%20BDA/TERM%201/DAEP%20-%20Data%20Analysis%20using%20Excel%20%5e0%20Python/copy%20of%20in26_11072025_versio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 TABLE1"/>
      <sheetName val="CLEAN TABLE2"/>
      <sheetName val="PT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py of supermarket"/>
      <sheetName val="Sheet1"/>
      <sheetName val="Basic stats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0FD4-937A-460B-98C7-01310B4B36F7}">
  <dimension ref="A1:P73"/>
  <sheetViews>
    <sheetView tabSelected="1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N16" sqref="N16"/>
    </sheetView>
  </sheetViews>
  <sheetFormatPr defaultRowHeight="14.5" x14ac:dyDescent="0.35"/>
  <cols>
    <col min="1" max="1" width="24.26953125" style="1" customWidth="1"/>
    <col min="2" max="3" width="19.1796875" customWidth="1"/>
    <col min="4" max="4" width="14.81640625" customWidth="1"/>
    <col min="5" max="5" width="15.1796875" customWidth="1"/>
    <col min="10" max="11" width="10" customWidth="1"/>
    <col min="13" max="13" width="12.81640625" customWidth="1"/>
    <col min="14" max="14" width="13.54296875" customWidth="1"/>
    <col min="15" max="15" width="17.26953125" customWidth="1"/>
  </cols>
  <sheetData>
    <row r="1" spans="1:16" x14ac:dyDescent="0.35">
      <c r="A1" s="11" t="s">
        <v>79</v>
      </c>
      <c r="B1" s="11" t="s">
        <v>78</v>
      </c>
      <c r="C1" s="12" t="s">
        <v>77</v>
      </c>
      <c r="D1" s="12"/>
      <c r="E1" s="11" t="s">
        <v>76</v>
      </c>
      <c r="F1" s="11" t="s">
        <v>75</v>
      </c>
      <c r="G1" s="11" t="s">
        <v>74</v>
      </c>
      <c r="H1" s="11" t="s">
        <v>73</v>
      </c>
      <c r="I1" s="11" t="s">
        <v>72</v>
      </c>
      <c r="J1" s="11" t="s">
        <v>71</v>
      </c>
      <c r="K1" s="11" t="s">
        <v>70</v>
      </c>
      <c r="L1" s="11" t="s">
        <v>69</v>
      </c>
      <c r="M1" s="11" t="s">
        <v>68</v>
      </c>
      <c r="N1" s="11" t="s">
        <v>67</v>
      </c>
      <c r="O1" s="11" t="s">
        <v>66</v>
      </c>
      <c r="P1" s="2"/>
    </row>
    <row r="2" spans="1:16" x14ac:dyDescent="0.35">
      <c r="A2" s="3"/>
      <c r="B2" s="3"/>
      <c r="C2" s="10"/>
      <c r="D2" s="10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</row>
    <row r="3" spans="1:16" x14ac:dyDescent="0.35">
      <c r="A3" s="3" t="s">
        <v>65</v>
      </c>
      <c r="B3" s="2">
        <f>COUNTA(_xlfn.UNIQUE([1]!Table157[Transaction_ID]))</f>
        <v>294461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3" t="s">
        <v>64</v>
      </c>
      <c r="B4" s="2">
        <f>COUNTA(_xlfn.UNIQUE([1]!Table157[Customer_ID]))</f>
        <v>86555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3" t="s">
        <v>63</v>
      </c>
      <c r="B5" s="2">
        <f>COUNTA(_xlfn.UNIQUE([1]!Table157[Name]))</f>
        <v>157552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3" t="s">
        <v>62</v>
      </c>
      <c r="B6" s="2">
        <f>COUNTA(_xlfn.UNIQUE([1]!Table157[Email]))</f>
        <v>52631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3" t="s">
        <v>61</v>
      </c>
      <c r="B7" s="2">
        <f>COUNTA(_xlfn.UNIQUE([1]!Table157[Phone]))</f>
        <v>294110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3" t="s">
        <v>60</v>
      </c>
      <c r="B8" s="2">
        <f>COUNTA(_xlfn.UNIQUE([1]!Table157[Address]))</f>
        <v>294138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3" t="s">
        <v>59</v>
      </c>
      <c r="B9" s="2">
        <f>COUNTA(_xlfn.UNIQUE([1]!Table157[City]))</f>
        <v>131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3" t="s">
        <v>58</v>
      </c>
      <c r="B10" s="2">
        <f>COUNTA(_xlfn.UNIQUE([1]!Table157[State]))</f>
        <v>55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3" t="s">
        <v>57</v>
      </c>
      <c r="B11" s="2">
        <f>COUNTA(_xlfn.UNIQUE([1]!Table157[Zipcode]))</f>
        <v>93718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7" t="s">
        <v>56</v>
      </c>
      <c r="B12" s="6">
        <f>COUNTA(_xlfn.UNIQUE([1]!Table157[Country]))</f>
        <v>6</v>
      </c>
      <c r="C12" s="2" t="s">
        <v>55</v>
      </c>
      <c r="D12" s="2">
        <f>COUNTIF([1]!Table157[Country], "Australia")</f>
        <v>43961</v>
      </c>
      <c r="E12" s="5">
        <f>(COUNTIF([1]!Table157[Country],"Australia")/COUNTA([1]!Table157[Country]))</f>
        <v>0.14929311521729532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7"/>
      <c r="B13" s="6"/>
      <c r="C13" s="2" t="s">
        <v>54</v>
      </c>
      <c r="D13" s="2">
        <f>COUNTIF([1]!Table157[Country], "Canada")</f>
        <v>43935</v>
      </c>
      <c r="E13" s="5">
        <f>(COUNTIF([1]!Table157[Country],"Canada")/COUNTA([1]!Table157[Country]))</f>
        <v>0.14920481829512228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7"/>
      <c r="B14" s="6"/>
      <c r="C14" s="2" t="s">
        <v>53</v>
      </c>
      <c r="D14" s="2">
        <f>COUNTIF([1]!Table157[Country], "Germany")</f>
        <v>51456</v>
      </c>
      <c r="E14" s="5">
        <f>(COUNTIF([1]!Table157[Country],"Germany")/COUNTA([1]!Table157[Country]))</f>
        <v>0.17474640105141259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7"/>
      <c r="B15" s="6"/>
      <c r="C15" s="2" t="s">
        <v>52</v>
      </c>
      <c r="D15" s="2">
        <f>COUNTIF([1]!Table157[Country], "UK")</f>
        <v>61698</v>
      </c>
      <c r="E15" s="5">
        <f>(COUNTIF([1]!Table157[Country],"UK")/COUNTA([1]!Table157[Country]))</f>
        <v>0.20952859631665993</v>
      </c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7"/>
      <c r="B16" s="6"/>
      <c r="C16" s="2" t="s">
        <v>51</v>
      </c>
      <c r="D16" s="2">
        <f>COUNTIF([1]!Table157[Country], "USA")</f>
        <v>93145</v>
      </c>
      <c r="E16" s="5">
        <f>(COUNTIF([1]!Table157[Country],"USA")/COUNTA([1]!Table157[Country]))</f>
        <v>0.31632372368497019</v>
      </c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7"/>
      <c r="B17" s="6"/>
      <c r="C17" s="2" t="s">
        <v>1</v>
      </c>
      <c r="D17" s="2">
        <f>COUNTIF([1]!Table157[Country], "NA")</f>
        <v>266</v>
      </c>
      <c r="E17" s="5">
        <f>(COUNTIF([1]!Table157[Country],"NA")/COUNTA([1]!Table157[Country]))</f>
        <v>9.0334543453971829E-4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3" t="s">
        <v>50</v>
      </c>
      <c r="B18" s="2">
        <f>COUNTA(_xlfn.UNIQUE([1]!Table157[Age]))</f>
        <v>54</v>
      </c>
      <c r="C18" s="2"/>
      <c r="D18" s="2"/>
      <c r="E18" s="2"/>
      <c r="F18" s="2">
        <f>MIN([1]!Table157[Age])</f>
        <v>18</v>
      </c>
      <c r="G18" s="2">
        <f>MAX([1]!Table157[Age])</f>
        <v>70</v>
      </c>
      <c r="H18" s="2">
        <f>AVERAGE([1]!Table157[Age])</f>
        <v>35.340243703532543</v>
      </c>
      <c r="I18" s="2">
        <f>MEDIAN([1]!Table157[Age])</f>
        <v>32</v>
      </c>
      <c r="J18" s="2" cm="1">
        <f t="array" ref="J18">_xlfn.MODE.MULT([1]!Table157[Age])</f>
        <v>20</v>
      </c>
      <c r="K18" s="2">
        <f>MAX([1]!Table157[Age]) - MIN([1]!Table157[Age])</f>
        <v>52</v>
      </c>
      <c r="L18" s="2">
        <f>STDEV([1]!Table157[Age])</f>
        <v>14.985044874839504</v>
      </c>
      <c r="M18" s="2">
        <f>SKEW([1]!Table157[Age])</f>
        <v>0.66514051702433685</v>
      </c>
      <c r="N18" s="2">
        <f>KURT([1]!Table157[Age])</f>
        <v>-0.78841763747975913</v>
      </c>
      <c r="O18" s="2"/>
      <c r="P18" s="2"/>
    </row>
    <row r="19" spans="1:16" x14ac:dyDescent="0.35">
      <c r="A19" s="7" t="s">
        <v>49</v>
      </c>
      <c r="B19" s="6">
        <f>COUNTA(_xlfn.UNIQUE([1]!Table157[Gender]))</f>
        <v>3</v>
      </c>
      <c r="C19" s="2" t="s">
        <v>48</v>
      </c>
      <c r="D19" s="2">
        <f>COUNTIF([1]!Table157[Gender], "Male")</f>
        <v>182869</v>
      </c>
      <c r="E19" s="5">
        <f>(COUNTIF([1]!Table157[Gender],"Male")/COUNTA([1]!Table157[Gender]))</f>
        <v>0.62102961003324719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7"/>
      <c r="B20" s="6"/>
      <c r="C20" s="2" t="s">
        <v>47</v>
      </c>
      <c r="D20" s="2">
        <f>COUNTIF([1]!Table157[Gender], "Female")</f>
        <v>111282</v>
      </c>
      <c r="E20" s="5">
        <f>(COUNTIF([1]!Table157[Gender],"Female")/COUNTA([1]!Table157[Gender]))</f>
        <v>0.37791761897161252</v>
      </c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7"/>
      <c r="B21" s="6"/>
      <c r="C21" s="2" t="s">
        <v>1</v>
      </c>
      <c r="D21" s="2">
        <f>COUNTIF([1]!Table157[Gender], "NA")</f>
        <v>310</v>
      </c>
      <c r="E21" s="5">
        <f>(COUNTIF([1]!Table157[Gender],"NA")/COUNTA([1]!Table157[Gender]))</f>
        <v>1.0527709951402733E-3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7" t="s">
        <v>46</v>
      </c>
      <c r="B22" s="6">
        <f>COUNTA(_xlfn.UNIQUE([1]!Table157[Income]))</f>
        <v>4</v>
      </c>
      <c r="C22" s="2" t="s">
        <v>45</v>
      </c>
      <c r="D22" s="2">
        <f>COUNTIF([1]!Table157[Income], "High")</f>
        <v>73408</v>
      </c>
      <c r="E22" s="5">
        <f>(COUNTIF([1]!Table157[Income],"High")/COUNTA([1]!Table157[Income]))</f>
        <v>0.24929617164921669</v>
      </c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7"/>
      <c r="B23" s="6"/>
      <c r="C23" s="2" t="s">
        <v>44</v>
      </c>
      <c r="D23" s="2">
        <f>COUNTIF([1]!Table157[Income], "Medium")</f>
        <v>127236</v>
      </c>
      <c r="E23" s="5">
        <f>(COUNTIF([1]!Table157[Income],"Medium")/COUNTA([1]!Table157[Income]))</f>
        <v>0.43209796883118645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7"/>
      <c r="B24" s="6"/>
      <c r="C24" s="2" t="s">
        <v>43</v>
      </c>
      <c r="D24" s="2">
        <f>COUNTIF([1]!Table157[Income], "Low")</f>
        <v>93535</v>
      </c>
      <c r="E24" s="5">
        <f>(COUNTIF([1]!Table157[Income],"Low")/COUNTA([1]!Table157[Income]))</f>
        <v>0.31764817751756597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7"/>
      <c r="B25" s="6"/>
      <c r="C25" s="2" t="s">
        <v>1</v>
      </c>
      <c r="D25" s="2">
        <f>COUNTIF([1]!Table157[Income], "NA")</f>
        <v>282</v>
      </c>
      <c r="E25" s="5">
        <f>(COUNTIF([1]!Table157[Income],"NA")/COUNTA([1]!Table157[Income]))</f>
        <v>9.5768200203082924E-4</v>
      </c>
      <c r="F25" s="2"/>
      <c r="G25" s="2"/>
      <c r="H25" s="2"/>
      <c r="I25" s="2"/>
      <c r="J25" s="2"/>
      <c r="K25" s="2"/>
      <c r="L25" s="2"/>
      <c r="M25" s="2"/>
      <c r="N25" s="2"/>
      <c r="O25" s="2" t="s">
        <v>42</v>
      </c>
      <c r="P25" s="2">
        <f>COUNT('[2]Copy of supermarket'!X10:X1009)</f>
        <v>0</v>
      </c>
    </row>
    <row r="26" spans="1:16" x14ac:dyDescent="0.35">
      <c r="A26" s="7" t="s">
        <v>41</v>
      </c>
      <c r="B26" s="6">
        <f>COUNTA(_xlfn.UNIQUE([1]!Table157[Customer_Segment]))</f>
        <v>4</v>
      </c>
      <c r="C26" s="2" t="s">
        <v>40</v>
      </c>
      <c r="D26" s="2">
        <f>COUNTIF([1]!Table157[Customer_Segment], "New")</f>
        <v>88778</v>
      </c>
      <c r="E26" s="5">
        <f>(COUNTIF([1]!Table157[Customer_Segment],"New")/COUNTA([1]!Table157[Customer_Segment]))</f>
        <v>0.3014932367953651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7"/>
      <c r="B27" s="6"/>
      <c r="C27" s="2" t="s">
        <v>39</v>
      </c>
      <c r="D27" s="2">
        <f>COUNTIF([1]!Table157[Customer_Segment], "Regular")</f>
        <v>143221</v>
      </c>
      <c r="E27" s="5">
        <f>(COUNTIF([1]!Table157[Customer_Segment],"Regular")/COUNTA([1]!Table157[Customer_Segment]))</f>
        <v>0.48638359579027446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7"/>
      <c r="B28" s="6"/>
      <c r="C28" s="2" t="s">
        <v>38</v>
      </c>
      <c r="D28" s="2">
        <f>COUNTIF([1]!Table157[Customer_Segment], "Premium")</f>
        <v>62254</v>
      </c>
      <c r="E28" s="5">
        <f>(COUNTIF([1]!Table157[Customer_Segment],"Premium")/COUNTA([1]!Table157[Customer_Segment]))</f>
        <v>0.21141679203697603</v>
      </c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7"/>
      <c r="B29" s="6"/>
      <c r="C29" s="2" t="s">
        <v>1</v>
      </c>
      <c r="D29" s="2">
        <f>COUNTIF([1]!Table157[Customer_Segment], "NA")</f>
        <v>208</v>
      </c>
      <c r="E29" s="5">
        <f>(COUNTIF([1]!Table157[Customer_Segment],"NA")/COUNTA([1]!Table157[Customer_Segment]))</f>
        <v>7.0637537738444138E-4</v>
      </c>
      <c r="F29" s="2"/>
      <c r="G29" s="2"/>
      <c r="H29" s="2"/>
      <c r="I29" s="2"/>
      <c r="J29" s="2"/>
      <c r="K29" s="2"/>
      <c r="L29" s="2"/>
      <c r="M29" s="2"/>
      <c r="N29" s="2"/>
      <c r="O29" s="8"/>
      <c r="P29" s="8"/>
    </row>
    <row r="30" spans="1:16" x14ac:dyDescent="0.35">
      <c r="A30" s="3" t="s">
        <v>37</v>
      </c>
      <c r="B30" s="2">
        <f>COUNTA(_xlfn.UNIQUE([1]!Table157[Date]))</f>
        <v>367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8"/>
      <c r="P30" s="8"/>
    </row>
    <row r="31" spans="1:16" x14ac:dyDescent="0.35">
      <c r="A31" s="3" t="s">
        <v>36</v>
      </c>
      <c r="B31" s="2">
        <f>COUNTA(_xlfn.UNIQUE([1]!Table157[clean_date]))</f>
        <v>32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8"/>
      <c r="P31" s="8"/>
    </row>
    <row r="32" spans="1:16" x14ac:dyDescent="0.35">
      <c r="A32" s="7" t="s">
        <v>35</v>
      </c>
      <c r="B32" s="6">
        <f>COUNTA(_xlfn.UNIQUE([1]!Table157[Year]))</f>
        <v>3</v>
      </c>
      <c r="C32" s="2">
        <v>2023</v>
      </c>
      <c r="D32" s="2">
        <f>COUNTIF([1]!Table157[Year], "2023")</f>
        <v>245621</v>
      </c>
      <c r="E32" s="5">
        <f>(COUNTIF([1]!Table157[Year],"2023")/COUNTA([1]!Table157[Year]))</f>
        <v>0.83413762773338407</v>
      </c>
      <c r="F32" s="2"/>
      <c r="G32" s="2"/>
      <c r="H32" s="2"/>
      <c r="I32" s="2"/>
      <c r="J32" s="2"/>
      <c r="K32" s="2"/>
      <c r="L32" s="2"/>
      <c r="M32" s="2"/>
      <c r="N32" s="2"/>
      <c r="O32" s="8"/>
      <c r="P32" s="8"/>
    </row>
    <row r="33" spans="1:16" x14ac:dyDescent="0.35">
      <c r="A33" s="7"/>
      <c r="B33" s="6"/>
      <c r="C33" s="2">
        <v>2024</v>
      </c>
      <c r="D33" s="2">
        <f>COUNTIF([1]!Table157[Year], "2024")</f>
        <v>48495</v>
      </c>
      <c r="E33" s="5">
        <f>(COUNTIF([1]!Table157[Year],"2024")/COUNTA([1]!Table157[Year]))</f>
        <v>0.16469074003008888</v>
      </c>
      <c r="F33" s="2"/>
      <c r="G33" s="2"/>
      <c r="H33" s="2"/>
      <c r="I33" s="2"/>
      <c r="J33" s="2"/>
      <c r="K33" s="2"/>
      <c r="L33" s="2"/>
      <c r="M33" s="2"/>
      <c r="N33" s="2"/>
      <c r="O33" s="8"/>
      <c r="P33" s="8"/>
    </row>
    <row r="34" spans="1:16" x14ac:dyDescent="0.35">
      <c r="A34" s="7"/>
      <c r="B34" s="6"/>
      <c r="C34" s="2" t="s">
        <v>1</v>
      </c>
      <c r="D34" s="2">
        <f>COUNTIF([1]!Table157[Year], "NA")</f>
        <v>345</v>
      </c>
      <c r="E34" s="5">
        <f>(COUNTIF([1]!Table157[Year],"NA")/COUNTA([1]!Table157[Year]))</f>
        <v>1.1716322365270782E-3</v>
      </c>
      <c r="F34" s="4"/>
      <c r="G34" s="2"/>
      <c r="H34" s="2"/>
      <c r="I34" s="2"/>
      <c r="J34" s="2"/>
      <c r="K34" s="2"/>
      <c r="L34" s="2"/>
      <c r="M34" s="2"/>
      <c r="N34" s="2"/>
      <c r="O34" s="8"/>
      <c r="P34" s="8"/>
    </row>
    <row r="35" spans="1:16" x14ac:dyDescent="0.35">
      <c r="A35" s="3" t="s">
        <v>34</v>
      </c>
      <c r="B35" s="2">
        <f>COUNTA(_xlfn.UNIQUE([1]!Table157[Month]))</f>
        <v>13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8"/>
      <c r="P35" s="8"/>
    </row>
    <row r="36" spans="1:16" x14ac:dyDescent="0.35">
      <c r="A36" s="3" t="s">
        <v>33</v>
      </c>
      <c r="B36" s="2">
        <f>COUNTA(_xlfn.UNIQUE([1]!Table157[Time]))</f>
        <v>83507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8"/>
      <c r="P36" s="8"/>
    </row>
    <row r="37" spans="1:16" x14ac:dyDescent="0.35">
      <c r="A37" s="3" t="s">
        <v>32</v>
      </c>
      <c r="B37" s="2">
        <f>COUNTA(_xlfn.UNIQUE([1]!Table157[Total_Purchases]))</f>
        <v>11</v>
      </c>
      <c r="C37" s="2"/>
      <c r="D37" s="2"/>
      <c r="E37" s="2"/>
      <c r="F37" s="2">
        <f>MIN([1]!Table157[Total_Purchases])</f>
        <v>1</v>
      </c>
      <c r="G37" s="2">
        <f>MAX([1]!Table157[Total_Purchases])</f>
        <v>10</v>
      </c>
      <c r="H37" s="2">
        <f>AVERAGE([1]!Table157[Total_Purchases])</f>
        <v>5.3618206979092644</v>
      </c>
      <c r="I37" s="2">
        <f>MEDIAN([1]!Table157[Total_Purchases])</f>
        <v>5</v>
      </c>
      <c r="J37" s="2"/>
      <c r="K37" s="2">
        <f>MAX([1]!Table157[Total_Purchases]) - MIN([1]!Table157[Total_Purchases])</f>
        <v>9</v>
      </c>
      <c r="L37" s="2">
        <f>STDEV([1]!Table157[Total_Purchases])</f>
        <v>2.8684283407037552</v>
      </c>
      <c r="M37" s="2">
        <f>SKEW([1]!Table157[Total_Purchases])</f>
        <v>7.1413362719487283E-2</v>
      </c>
      <c r="N37" s="2">
        <f>KURT([1]!Table157[Total_Purchases])</f>
        <v>-1.2163368765739921</v>
      </c>
      <c r="O37" s="8"/>
      <c r="P37" s="8"/>
    </row>
    <row r="38" spans="1:16" x14ac:dyDescent="0.35">
      <c r="A38" s="3" t="s">
        <v>31</v>
      </c>
      <c r="B38" s="2">
        <f>COUNTA(_xlfn.UNIQUE([1]!Table157[Amount]))</f>
        <v>294108</v>
      </c>
      <c r="C38" s="2"/>
      <c r="D38" s="2"/>
      <c r="E38" s="2"/>
      <c r="F38" s="2">
        <f>MIN([1]!Table157[Amount])</f>
        <v>10.000219230000001</v>
      </c>
      <c r="G38" s="2">
        <f>MAX([1]!Table157[Amount])</f>
        <v>499.99791099999999</v>
      </c>
      <c r="H38" s="2">
        <f>AVERAGE([1]!Table157[Amount])</f>
        <v>255.23813056037906</v>
      </c>
      <c r="I38" s="2">
        <f>MEDIAN([1]!Table157[Amount])</f>
        <v>255.52937614999999</v>
      </c>
      <c r="J38" s="2"/>
      <c r="K38" s="2">
        <f>MAX([1]!Table157[Amount]) - MIN([1]!Table157[Amount])</f>
        <v>489.99769176999996</v>
      </c>
      <c r="L38" s="2">
        <f>STDEV([1]!Table157[Amount])</f>
        <v>141.42299721859135</v>
      </c>
      <c r="M38" s="2">
        <f>SKEW([1]!Table157[Amount])</f>
        <v>-2.6124888417692516E-3</v>
      </c>
      <c r="N38" s="2">
        <f>KURT([1]!Table157[Amount])</f>
        <v>-1.1987962044189731</v>
      </c>
      <c r="O38" s="8"/>
      <c r="P38" s="8"/>
    </row>
    <row r="39" spans="1:16" x14ac:dyDescent="0.35">
      <c r="A39" s="3" t="s">
        <v>30</v>
      </c>
      <c r="B39" s="2">
        <f>COUNTA(_xlfn.UNIQUE([1]!Table157[Total_Amount]))</f>
        <v>294115</v>
      </c>
      <c r="C39" s="2"/>
      <c r="D39" s="2"/>
      <c r="E39" s="2"/>
      <c r="F39" s="2">
        <f>MIN([1]!Table157[Total_Amount])</f>
        <v>10.00374959</v>
      </c>
      <c r="G39" s="2">
        <f>MAX([1]!Table157[Total_Amount])</f>
        <v>4999.6257960000003</v>
      </c>
      <c r="H39" s="2">
        <f>AVERAGE([1]!Table157[Total_Amount])</f>
        <v>1368.3876870465069</v>
      </c>
      <c r="I39" s="2">
        <f>MEDIAN([1]!Table157[Total_Amount])</f>
        <v>1042.0149350000002</v>
      </c>
      <c r="J39" s="2"/>
      <c r="K39" s="2">
        <f>MAX([1]!Table157[Total_Amount]) - MIN([1]!Table157[Total_Amount])</f>
        <v>4989.6220464100006</v>
      </c>
      <c r="L39" s="2">
        <f>STDEV([1]!Table157[Total_Amount])</f>
        <v>1129.1346980447809</v>
      </c>
      <c r="M39" s="2">
        <f>SKEW([1]!Table157[Total_Amount])</f>
        <v>0.97206333071503059</v>
      </c>
      <c r="N39" s="2">
        <f>KURT([1]!Table157[Total_Amount])</f>
        <v>0.17366207097391539</v>
      </c>
      <c r="O39" s="8"/>
      <c r="P39" s="8"/>
    </row>
    <row r="40" spans="1:16" x14ac:dyDescent="0.35">
      <c r="A40" s="7" t="s">
        <v>29</v>
      </c>
      <c r="B40" s="6">
        <f>COUNTA(_xlfn.UNIQUE([1]!Table157[Product_Category]))</f>
        <v>6</v>
      </c>
      <c r="C40" s="2" t="s">
        <v>28</v>
      </c>
      <c r="D40" s="2">
        <f>COUNTIF([1]!Table157[Product_Category], "Books")</f>
        <v>53202</v>
      </c>
      <c r="E40" s="5">
        <f>(COUNTIF([1]!Table157[Product_Category],"Books")/COUNTA([1]!Table157[Product_Category]))</f>
        <v>0.18067587897888004</v>
      </c>
      <c r="F40" s="2"/>
      <c r="G40" s="2"/>
      <c r="H40" s="2"/>
      <c r="I40" s="2"/>
      <c r="J40" s="2"/>
      <c r="K40" s="2"/>
      <c r="L40" s="2"/>
      <c r="M40" s="2"/>
      <c r="N40" s="2"/>
      <c r="O40" s="8"/>
      <c r="P40" s="8"/>
    </row>
    <row r="41" spans="1:16" x14ac:dyDescent="0.35">
      <c r="A41" s="7"/>
      <c r="B41" s="6"/>
      <c r="C41" s="2" t="s">
        <v>27</v>
      </c>
      <c r="D41" s="2">
        <f>COUNTIF([1]!Table157[Product_Category], "Clothing")</f>
        <v>53397</v>
      </c>
      <c r="E41" s="5">
        <f>(COUNTIF([1]!Table157[Product_Category],"Clothing")/COUNTA([1]!Table157[Product_Category]))</f>
        <v>0.18133810589517796</v>
      </c>
      <c r="F41" s="2"/>
      <c r="G41" s="2"/>
      <c r="H41" s="2"/>
      <c r="I41" s="2"/>
      <c r="J41" s="2"/>
      <c r="K41" s="2"/>
      <c r="L41" s="2"/>
      <c r="M41" s="2"/>
      <c r="N41" s="2"/>
      <c r="O41" s="8"/>
      <c r="P41" s="8"/>
    </row>
    <row r="42" spans="1:16" x14ac:dyDescent="0.35">
      <c r="A42" s="7"/>
      <c r="B42" s="6"/>
      <c r="C42" s="2" t="s">
        <v>26</v>
      </c>
      <c r="D42" s="2">
        <f>COUNTIF([1]!Table157[Product_Category], "Electronics")</f>
        <v>69420</v>
      </c>
      <c r="E42" s="5">
        <f>(COUNTIF([1]!Table157[Product_Category],"Electronics")/COUNTA([1]!Table157[Product_Category]))</f>
        <v>0.23575278220205731</v>
      </c>
      <c r="F42" s="2"/>
      <c r="G42" s="2"/>
      <c r="H42" s="2"/>
      <c r="I42" s="2"/>
      <c r="J42" s="2"/>
      <c r="K42" s="2"/>
      <c r="L42" s="2"/>
      <c r="M42" s="2"/>
      <c r="N42" s="2"/>
      <c r="O42" s="8"/>
      <c r="P42" s="8"/>
    </row>
    <row r="43" spans="1:16" x14ac:dyDescent="0.35">
      <c r="A43" s="7"/>
      <c r="B43" s="6"/>
      <c r="C43" s="2" t="s">
        <v>25</v>
      </c>
      <c r="D43" s="2">
        <f>COUNTIF([1]!Table157[Product_Category], "Grocery")</f>
        <v>65192</v>
      </c>
      <c r="E43" s="5">
        <f>(COUNTIF([1]!Table157[Product_Category],"Grocery")/COUNTA([1]!Table157[Product_Category]))</f>
        <v>0.22139434424253127</v>
      </c>
      <c r="F43" s="2"/>
      <c r="G43" s="2"/>
      <c r="H43" s="2"/>
      <c r="I43" s="2"/>
      <c r="J43" s="2"/>
      <c r="K43" s="2"/>
      <c r="L43" s="2"/>
      <c r="M43" s="2"/>
      <c r="N43" s="2"/>
      <c r="O43" s="8"/>
      <c r="P43" s="8"/>
    </row>
    <row r="44" spans="1:16" x14ac:dyDescent="0.35">
      <c r="A44" s="7"/>
      <c r="B44" s="6"/>
      <c r="C44" s="2" t="s">
        <v>24</v>
      </c>
      <c r="D44" s="2">
        <f>COUNTIF([1]!Table157[Product_Category], "Home Decor")</f>
        <v>52975</v>
      </c>
      <c r="E44" s="5">
        <f>(COUNTIF([1]!Table157[Product_Category],"Home Decor")/COUNTA([1]!Table157[Product_Category]))</f>
        <v>0.17990497892759991</v>
      </c>
      <c r="F44" s="2"/>
      <c r="G44" s="2"/>
      <c r="H44" s="2"/>
      <c r="I44" s="2"/>
      <c r="J44" s="2"/>
      <c r="K44" s="2"/>
      <c r="L44" s="2"/>
      <c r="M44" s="2"/>
      <c r="N44" s="2"/>
      <c r="O44" s="8"/>
      <c r="P44" s="8"/>
    </row>
    <row r="45" spans="1:16" x14ac:dyDescent="0.35">
      <c r="A45" s="7"/>
      <c r="B45" s="6"/>
      <c r="C45" s="2" t="s">
        <v>1</v>
      </c>
      <c r="D45" s="2">
        <f>COUNTIF([1]!Table157[Product_Category], "NA")</f>
        <v>275</v>
      </c>
      <c r="E45" s="5">
        <f>(COUNTIF([1]!Table157[Product_Category],"NA")/COUNTA([1]!Table157[Product_Category]))</f>
        <v>9.3390975375346819E-4</v>
      </c>
      <c r="F45" s="2"/>
      <c r="G45" s="4"/>
      <c r="H45" s="2"/>
      <c r="I45" s="2"/>
      <c r="J45" s="2"/>
      <c r="K45" s="2"/>
      <c r="L45" s="2"/>
      <c r="M45" s="2"/>
      <c r="N45" s="2"/>
      <c r="O45" s="8"/>
      <c r="P45" s="8"/>
    </row>
    <row r="46" spans="1:16" x14ac:dyDescent="0.35">
      <c r="A46" s="3" t="s">
        <v>23</v>
      </c>
      <c r="B46" s="2">
        <f>COUNTA(_xlfn.UNIQUE([1]!Table157[Product_Brand]))</f>
        <v>19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8"/>
      <c r="P46" s="8"/>
    </row>
    <row r="47" spans="1:16" x14ac:dyDescent="0.35">
      <c r="A47" s="3" t="s">
        <v>22</v>
      </c>
      <c r="B47" s="2">
        <f>COUNTA(_xlfn.UNIQUE([1]!Table157[Product_Type]))</f>
        <v>33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7" t="s">
        <v>21</v>
      </c>
      <c r="B48" s="6">
        <f>COUNTA(_xlfn.UNIQUE([1]!Table157[Feedback]))</f>
        <v>5</v>
      </c>
      <c r="C48" s="2" t="s">
        <v>20</v>
      </c>
      <c r="D48" s="2">
        <f>COUNTIF([1]!Table157[Feedback], "Excellent")</f>
        <v>98336</v>
      </c>
      <c r="E48" s="5">
        <f>(COUNTIF([1]!Table157[Feedback],"Excellent")/COUNTA([1]!Table157[Feedback]))</f>
        <v>0.33395254380036743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7"/>
      <c r="B49" s="6"/>
      <c r="C49" s="2" t="s">
        <v>19</v>
      </c>
      <c r="D49" s="2">
        <f>COUNTIF([1]!Table157[Feedback], "Good")</f>
        <v>92840</v>
      </c>
      <c r="E49" s="5">
        <f>(COUNTIF([1]!Table157[Feedback],"Good")/COUNTA([1]!Table157[Feedback]))</f>
        <v>0.31528793286717088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7"/>
      <c r="B50" s="6"/>
      <c r="C50" s="2" t="s">
        <v>18</v>
      </c>
      <c r="D50" s="2">
        <f>COUNTIF([1]!Table157[Feedback], "Average")</f>
        <v>61021</v>
      </c>
      <c r="E50" s="5">
        <f>(COUNTIF([1]!Table157[Feedback],"Average")/COUNTA([1]!Table157[Feedback]))</f>
        <v>0.20722948030469229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7"/>
      <c r="B51" s="6"/>
      <c r="C51" s="2" t="s">
        <v>17</v>
      </c>
      <c r="D51" s="2">
        <f>COUNTIF([1]!Table157[Feedback], "Bad")</f>
        <v>42084</v>
      </c>
      <c r="E51" s="5">
        <f>(COUNTIF([1]!Table157[Feedback],"Bad")/COUNTA([1]!Table157[Feedback]))</f>
        <v>0.14291875664349438</v>
      </c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7"/>
      <c r="B52" s="6"/>
      <c r="C52" s="2" t="s">
        <v>1</v>
      </c>
      <c r="D52" s="2">
        <f>COUNTIF([1]!Table157[Feedback], "NA")</f>
        <v>180</v>
      </c>
      <c r="E52" s="5">
        <f>(COUNTIF([1]!Table157[Feedback],"NA")/COUNTA([1]!Table157[Feedback]))</f>
        <v>6.112863842749974E-4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7" t="s">
        <v>16</v>
      </c>
      <c r="B53" s="6">
        <f>COUNTA(_xlfn.UNIQUE([1]!Table157[Shipping_Method]))</f>
        <v>4</v>
      </c>
      <c r="C53" s="2" t="s">
        <v>15</v>
      </c>
      <c r="D53" s="2">
        <f>COUNTIF([1]!Table157[Shipping_Method], "Standard")</f>
        <v>92801</v>
      </c>
      <c r="E53" s="5">
        <f>(COUNTIF([1]!Table157[Shipping_Method],"Standard")/COUNTA([1]!Table157[Shipping_Method]))</f>
        <v>0.31515548748391126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7"/>
      <c r="B54" s="6"/>
      <c r="C54" s="2" t="s">
        <v>14</v>
      </c>
      <c r="D54" s="2">
        <f>COUNTIF([1]!Table157[Shipping_Method], "Express")</f>
        <v>99763</v>
      </c>
      <c r="E54" s="5">
        <f>(COUNTIF([1]!Table157[Shipping_Method],"Express")/COUNTA([1]!Table157[Shipping_Method]))</f>
        <v>0.33879868641348088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7"/>
      <c r="B55" s="6"/>
      <c r="C55" s="2" t="s">
        <v>13</v>
      </c>
      <c r="D55" s="2">
        <f>COUNTIF([1]!Table157[Shipping_Method], "Same-day")</f>
        <v>101567</v>
      </c>
      <c r="E55" s="5">
        <f>(COUNTIF([1]!Table157[Shipping_Method],"Same-day")/COUNTA([1]!Table157[Shipping_Method]))</f>
        <v>0.34492513439810363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7"/>
      <c r="B56" s="6"/>
      <c r="C56" s="2" t="s">
        <v>1</v>
      </c>
      <c r="D56" s="2">
        <f>COUNTIF([1]!Table157[Shipping_Method], "NA")</f>
        <v>330</v>
      </c>
      <c r="E56" s="5">
        <f>(COUNTIF([1]!Table157[Shipping_Method],"NA")/COUNTA([1]!Table157[Shipping_Method]))</f>
        <v>1.1206917045041619E-3</v>
      </c>
      <c r="F56" s="2"/>
      <c r="G56" s="4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7" t="s">
        <v>12</v>
      </c>
      <c r="B57" s="6">
        <f>COUNTA(_xlfn.UNIQUE([1]!Table157[Payment_Method]))</f>
        <v>5</v>
      </c>
      <c r="C57" s="2" t="s">
        <v>11</v>
      </c>
      <c r="D57" s="2">
        <f>COUNTIF([1]!Table157[Payment_Method], "Cash")</f>
        <v>71217</v>
      </c>
      <c r="E57" s="5">
        <f>(COUNTIF([1]!Table157[Payment_Method],"Cash")/COUNTA([1]!Table157[Payment_Method]))</f>
        <v>0.24185545793840271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7"/>
      <c r="B58" s="6"/>
      <c r="C58" s="2" t="s">
        <v>10</v>
      </c>
      <c r="D58" s="2">
        <f>COUNTIF([1]!Table157[Payment_Method], "Debit Card")</f>
        <v>75431</v>
      </c>
      <c r="E58" s="5">
        <f>(COUNTIF([1]!Table157[Payment_Method],"Debit Card")/COUNTA([1]!Table157[Payment_Method]))</f>
        <v>0.25616635140137406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7"/>
      <c r="B59" s="6"/>
      <c r="C59" s="2" t="s">
        <v>9</v>
      </c>
      <c r="D59" s="2">
        <f>COUNTIF([1]!Table157[Payment_Method], "Credit Card")</f>
        <v>87465</v>
      </c>
      <c r="E59" s="5">
        <f>(COUNTIF([1]!Table157[Payment_Method],"Credit Card")/COUNTA([1]!Table157[Payment_Method]))</f>
        <v>0.2970342422256258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7"/>
      <c r="B60" s="6"/>
      <c r="C60" s="2" t="s">
        <v>8</v>
      </c>
      <c r="D60" s="2">
        <f>COUNTIF([1]!Table157[Payment_Method], "PayPal")</f>
        <v>60058</v>
      </c>
      <c r="E60" s="5">
        <f>(COUNTIF([1]!Table157[Payment_Method],"PayPal")/COUNTA([1]!Table157[Payment_Method]))</f>
        <v>0.20395909814882107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7"/>
      <c r="B61" s="6"/>
      <c r="C61" s="2" t="s">
        <v>1</v>
      </c>
      <c r="D61" s="2">
        <f>COUNTIF([1]!Table157[Payment_Method], "NA")</f>
        <v>290</v>
      </c>
      <c r="E61" s="5">
        <f>(COUNTIF([1]!Table157[Payment_Method],"NA")/COUNTA([1]!Table157[Payment_Method]))</f>
        <v>9.8485028577638455E-4</v>
      </c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7" t="s">
        <v>7</v>
      </c>
      <c r="B62" s="6">
        <f>COUNTA(_xlfn.UNIQUE([1]!Table157[Order_Status]))</f>
        <v>5</v>
      </c>
      <c r="C62" s="2" t="s">
        <v>6</v>
      </c>
      <c r="D62" s="2">
        <f>COUNTIF([1]!Table157[Order_Status], "Delivered")</f>
        <v>127892</v>
      </c>
      <c r="E62" s="5">
        <f>(COUNTIF([1]!Table157[Order_Status],"Delivered")/COUNTA([1]!Table157[Order_Status]))</f>
        <v>0.43432576809832202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7"/>
      <c r="B63" s="6"/>
      <c r="C63" s="2" t="s">
        <v>5</v>
      </c>
      <c r="D63" s="2">
        <f>COUNTIF([1]!Table157[Order_Status], "Shipped")</f>
        <v>63216</v>
      </c>
      <c r="E63" s="5">
        <f>(COUNTIF([1]!Table157[Order_Status],"Shipped")/COUNTA([1]!Table157[Order_Status]))</f>
        <v>0.21468377815737907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7"/>
      <c r="B64" s="6"/>
      <c r="C64" s="2" t="s">
        <v>4</v>
      </c>
      <c r="D64" s="2">
        <f>COUNTIF([1]!Table157[Order_Status], "Processing")</f>
        <v>55580</v>
      </c>
      <c r="E64" s="5">
        <f>(COUNTIF([1]!Table157[Order_Status],"Processing")/COUNTA([1]!Table157[Order_Status]))</f>
        <v>0.18875165132224642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7"/>
      <c r="B65" s="6"/>
      <c r="C65" s="2" t="s">
        <v>3</v>
      </c>
      <c r="D65" s="2">
        <f>COUNTIF([1]!Table157[Order_Status], "Pending")</f>
        <v>47541</v>
      </c>
      <c r="E65" s="5">
        <f>(COUNTIF([1]!Table157[Order_Status],"Pending")/COUNTA([1]!Table157[Order_Status]))</f>
        <v>0.16145092219343138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7"/>
      <c r="B66" s="6"/>
      <c r="C66" s="2" t="s">
        <v>1</v>
      </c>
      <c r="D66" s="2">
        <f>COUNTIF([1]!Table157[Order_Status], "NA")</f>
        <v>232</v>
      </c>
      <c r="E66" s="5">
        <f>(COUNTIF([1]!Table157[Order_Status],"NA")/COUNTA([1]!Table157[Order_Status]))</f>
        <v>7.8788022862110775E-4</v>
      </c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7" t="s">
        <v>2</v>
      </c>
      <c r="B67" s="6">
        <f>COUNTA(_xlfn.UNIQUE([1]!Table157[Ratings]))</f>
        <v>6</v>
      </c>
      <c r="C67" s="2">
        <v>1</v>
      </c>
      <c r="D67" s="2">
        <f>COUNTIF([1]!Table157[Ratings], "1")</f>
        <v>42084</v>
      </c>
      <c r="E67" s="5">
        <f>(COUNTIF([1]!Table157[Ratings],"1")/COUNTA([1]!Table157[Ratings]))</f>
        <v>0.14291875664349438</v>
      </c>
      <c r="F67" s="2">
        <f>MIN([1]!Table157[Ratings])</f>
        <v>1</v>
      </c>
      <c r="G67" s="2">
        <f>MAX([1]!Table157[Ratings])</f>
        <v>5</v>
      </c>
      <c r="H67" s="2">
        <f>AVERAGE([1]!Table157[Ratings])</f>
        <v>3.1643972937430549</v>
      </c>
      <c r="I67" s="2">
        <f>MEDIAN([1]!Table157[Ratings])</f>
        <v>3</v>
      </c>
      <c r="J67" s="2"/>
      <c r="K67" s="2">
        <f>MAX([1]!Table157[Ratings]) - MIN([1]!Table157[Ratings])</f>
        <v>4</v>
      </c>
      <c r="L67" s="2">
        <f>STDEV([1]!Table157[Ratings])</f>
        <v>1.3200799967907857</v>
      </c>
      <c r="M67" s="2">
        <f>SKEW([1]!Table157[Ratings])</f>
        <v>-0.24346890327956913</v>
      </c>
      <c r="N67" s="2">
        <f>KURT([1]!Table157[Ratings])</f>
        <v>-1.1672042076203708</v>
      </c>
      <c r="O67" s="2"/>
      <c r="P67" s="2"/>
    </row>
    <row r="68" spans="1:16" x14ac:dyDescent="0.35">
      <c r="A68" s="7"/>
      <c r="B68" s="6"/>
      <c r="C68" s="2">
        <v>2</v>
      </c>
      <c r="D68" s="2">
        <f>COUNTIF([1]!Table157[Ratings], "2")</f>
        <v>61021</v>
      </c>
      <c r="E68" s="5">
        <f>(COUNTIF([1]!Table157[Ratings],"2")/COUNTA([1]!Table157[Ratings]))</f>
        <v>0.20722948030469229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7"/>
      <c r="B69" s="6"/>
      <c r="C69" s="2">
        <v>3</v>
      </c>
      <c r="D69" s="2">
        <f>COUNTIF([1]!Table157[Ratings], "3")</f>
        <v>46530</v>
      </c>
      <c r="E69" s="5">
        <f>(COUNTIF([1]!Table157[Ratings],"3")/COUNTA([1]!Table157[Ratings]))</f>
        <v>0.15801753033508681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7"/>
      <c r="B70" s="6"/>
      <c r="C70" s="2">
        <v>4</v>
      </c>
      <c r="D70" s="2">
        <f>COUNTIF([1]!Table157[Ratings], "4")</f>
        <v>95724</v>
      </c>
      <c r="E70" s="5">
        <f>(COUNTIF([1]!Table157[Ratings],"4")/COUNTA([1]!Table157[Ratings]))</f>
        <v>0.32508209915744363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7"/>
      <c r="B71" s="6"/>
      <c r="C71" s="2">
        <v>5</v>
      </c>
      <c r="D71" s="2">
        <f>COUNTIF([1]!Table157[Ratings], "5")</f>
        <v>48922</v>
      </c>
      <c r="E71" s="5">
        <f>(COUNTIF([1]!Table157[Ratings],"5")/COUNTA([1]!Table157[Ratings]))</f>
        <v>0.16614084717500791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7"/>
      <c r="B72" s="6"/>
      <c r="C72" s="2" t="s">
        <v>1</v>
      </c>
      <c r="D72" s="2">
        <f>COUNTIF([1]!Table157[Ratings], "NA")</f>
        <v>180</v>
      </c>
      <c r="E72" s="5">
        <f>(COUNTIF([1]!Table157[Ratings],"NA")/COUNTA([1]!Table157[Ratings]))</f>
        <v>6.112863842749974E-4</v>
      </c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3" t="s">
        <v>0</v>
      </c>
      <c r="B73" s="2">
        <f>COUNTA(_xlfn.UNIQUE([1]!Table157[products]))</f>
        <v>318</v>
      </c>
      <c r="C73" s="2"/>
      <c r="D73" s="2"/>
      <c r="E73" s="2"/>
      <c r="F73" s="2"/>
      <c r="G73" s="2"/>
      <c r="H73" s="2"/>
      <c r="I73" s="2"/>
      <c r="K73" s="2"/>
      <c r="L73" s="2"/>
      <c r="M73" s="2"/>
      <c r="N73" s="2"/>
      <c r="O73" s="2"/>
      <c r="P73" s="2"/>
    </row>
  </sheetData>
  <mergeCells count="23">
    <mergeCell ref="A62:A66"/>
    <mergeCell ref="B62:B66"/>
    <mergeCell ref="A67:A72"/>
    <mergeCell ref="B67:B72"/>
    <mergeCell ref="A48:A52"/>
    <mergeCell ref="B48:B52"/>
    <mergeCell ref="A53:A56"/>
    <mergeCell ref="B53:B56"/>
    <mergeCell ref="A57:A61"/>
    <mergeCell ref="B57:B61"/>
    <mergeCell ref="A26:A29"/>
    <mergeCell ref="B26:B29"/>
    <mergeCell ref="A32:A34"/>
    <mergeCell ref="B32:B34"/>
    <mergeCell ref="A40:A45"/>
    <mergeCell ref="B40:B45"/>
    <mergeCell ref="A22:A25"/>
    <mergeCell ref="B22:B25"/>
    <mergeCell ref="C1:D1"/>
    <mergeCell ref="A12:A17"/>
    <mergeCell ref="B12:B17"/>
    <mergeCell ref="A19:A21"/>
    <mergeCell ref="B19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Nath</dc:creator>
  <cp:lastModifiedBy>Ishita Nath</cp:lastModifiedBy>
  <dcterms:created xsi:type="dcterms:W3CDTF">2026-01-21T15:03:25Z</dcterms:created>
  <dcterms:modified xsi:type="dcterms:W3CDTF">2026-01-21T15:07:24Z</dcterms:modified>
</cp:coreProperties>
</file>